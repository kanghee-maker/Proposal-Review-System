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8920" yWindow="-120" windowWidth="29040" windowHeight="15720"/>
  </bookViews>
  <sheets>
    <sheet name="Sheet1" sheetId="1" r:id="rId1"/>
  </sheets>
  <definedNames>
    <definedName name="_xlnm._FilterDatabase" localSheetId="0" hidden="1">Sheet1!$A$1:$R$135</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35" i="1" l="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<sst xmlns="http://schemas.openxmlformats.org/spreadsheetml/2006/main" count="1001" uniqueCount="362">
  <si>
    <t>연 번</t>
  </si>
  <si>
    <t>게시판번호</t>
  </si>
  <si>
    <t>제안자</t>
  </si>
  <si>
    <t>소속부서</t>
  </si>
  <si>
    <t>직급</t>
  </si>
  <si>
    <t>제안구분</t>
  </si>
  <si>
    <t>분 야</t>
  </si>
  <si>
    <t>실행부서</t>
  </si>
  <si>
    <t>접수일자</t>
  </si>
  <si>
    <t>제안제목</t>
  </si>
  <si>
    <t>중복제안 여부</t>
  </si>
  <si>
    <t>중복제안 제목</t>
  </si>
  <si>
    <t>평점</t>
  </si>
  <si>
    <t>과락구분</t>
  </si>
  <si>
    <t>검토결과</t>
  </si>
  <si>
    <t>비교대상</t>
  </si>
  <si>
    <t>판단근거</t>
  </si>
  <si>
    <t>정성학</t>
  </si>
  <si>
    <t>경영지원실 회계부</t>
  </si>
  <si>
    <t>행정4급</t>
  </si>
  <si>
    <t>지정제안</t>
  </si>
  <si>
    <t>예산절감(수익창출)</t>
  </si>
  <si>
    <t>과천도시공사 경영수지 개선 및 경영효율화 전략 수립</t>
  </si>
  <si>
    <t>박성호</t>
  </si>
  <si>
    <t>사업계획처 사업계획부</t>
  </si>
  <si>
    <t>기술5급</t>
  </si>
  <si>
    <t>지역상생</t>
  </si>
  <si>
    <t>[지정제안]막계동 특별계획구역 개발사업 지원TF 구성(메디파크원 지원 TF)</t>
  </si>
  <si>
    <t>김민규</t>
  </si>
  <si>
    <t>체육운영처 빙상부</t>
  </si>
  <si>
    <t>기술6급</t>
  </si>
  <si>
    <t>실행제안</t>
  </si>
  <si>
    <t>업무개선</t>
  </si>
  <si>
    <t>시민회관체육운영처 빙상부</t>
  </si>
  <si>
    <t>(실행제안) 빙상장 키오스크 관내 1호기, 관외 2호기 요금 운영</t>
  </si>
  <si>
    <t>이정민</t>
  </si>
  <si>
    <t>미래전략실 미래혁신부</t>
  </si>
  <si>
    <t>자유제안</t>
  </si>
  <si>
    <t>제도개선</t>
  </si>
  <si>
    <t>청렴감사단</t>
  </si>
  <si>
    <t>[자유제안] 음주운전 점검방식 개선으로 개인정보 유출 리스크 차단</t>
  </si>
  <si>
    <t>오석현</t>
  </si>
  <si>
    <t>경영지원실 재무부</t>
  </si>
  <si>
    <t>[지정제안]물가·적산정보 통합패키지 구매 및 예산편성 기준 일원화</t>
  </si>
  <si>
    <t>조준수</t>
  </si>
  <si>
    <t>공원수련관 관리처</t>
  </si>
  <si>
    <t>행정5급</t>
  </si>
  <si>
    <t>공원수련관관리처 공원운영부</t>
  </si>
  <si>
    <t>[지정제안]관문공원 체육공원 수시대관 온라인 신청(승인) 시간 연장을 통한 시민 편의 및 대관수입 증대</t>
  </si>
  <si>
    <t>김은정</t>
  </si>
  <si>
    <t>고객서비스</t>
  </si>
  <si>
    <t>시설관리처 시설운영부</t>
  </si>
  <si>
    <t>[지정제안]시민회관 자전거 주차장 설치</t>
  </si>
  <si>
    <t>김재범</t>
  </si>
  <si>
    <t>시민회관체육운영처 여가체육부</t>
  </si>
  <si>
    <t>체육5급</t>
  </si>
  <si>
    <t>시민회관 체육사업부 일시고용 모집 확대운영</t>
  </si>
  <si>
    <t>[지정제안]신규 공공시설 개장 전 시민 이용 시나리오 점검제 도입</t>
  </si>
  <si>
    <t>양재호</t>
  </si>
  <si>
    <t>경영지원실 총무행정부</t>
  </si>
  <si>
    <t>경영지원실 인사부</t>
  </si>
  <si>
    <t>[지정제안] 대외비 관리지침 개정</t>
  </si>
  <si>
    <t>[지정제안] 시민회관 헬스장 운동기구 사용방법 지도계획</t>
  </si>
  <si>
    <t>이병엽</t>
  </si>
  <si>
    <t>미래전략실 스마트정보부</t>
  </si>
  <si>
    <t>안전</t>
  </si>
  <si>
    <t>[지정제안] AI기반 지능형 객체정보추출 솔루션 도입을 통한 안전사고 예방</t>
  </si>
  <si>
    <t>김일권</t>
  </si>
  <si>
    <t xml:space="preserve">시설관리처 주차관리부 </t>
  </si>
  <si>
    <t>시설관리처 주차관리부</t>
  </si>
  <si>
    <t>[자유제안] 고지서 처리 업무 효율화</t>
  </si>
  <si>
    <t>김다정</t>
  </si>
  <si>
    <t>[자유제안] 소통하는 조직문화! 사내 주요업무 일정 공유 체계 구축</t>
  </si>
  <si>
    <t>판단보류(채택결과 미확인)</t>
  </si>
  <si>
    <t>2023-12-213 공사 전산시스템 통합운영 및 공유 캘린더 활성화
채택결과 확인 불가 [제안 본문에 심사결과 없음]</t>
  </si>
  <si>
    <t>전자문서 캘린더를 이용한 일정 공유 방식은 유사하나 해당 과거 제안의 채택·불채택 결과가 제공된 시트에 없음. 제공 자료에서 채택 근거가 확인되지 않으므로 채택안과의 중복으로 확정하지 않음.</t>
  </si>
  <si>
    <t>이원재</t>
  </si>
  <si>
    <t>기술 7급</t>
  </si>
  <si>
    <t>[지정제안] 무인주차시스템 핵심 예비품 확보를 통한 운영중단 최소화</t>
  </si>
  <si>
    <t>정명화</t>
  </si>
  <si>
    <t>행정6급</t>
  </si>
  <si>
    <t>계정등록 신청서 양식 간소화로 업무 간소화</t>
  </si>
  <si>
    <t>공원수련관관리처 수련관운영부</t>
  </si>
  <si>
    <t>윤지혜</t>
  </si>
  <si>
    <t xml:space="preserve">시민회관체육운영처 빙상부 </t>
  </si>
  <si>
    <t xml:space="preserve">체육6급 </t>
  </si>
  <si>
    <t>[실행제안]밀라노 동계올림픽 전광판 응원 이벤트 운영</t>
  </si>
  <si>
    <t>시설관리처 시설기획부</t>
  </si>
  <si>
    <t>[자유제안] 엘리베이터 층별 안내 스티커 부착</t>
  </si>
  <si>
    <t>과천도시공사 비정규직관리지침 개정 요청</t>
  </si>
  <si>
    <t>이승진</t>
  </si>
  <si>
    <t>공원수련관관리처 시설지원부</t>
  </si>
  <si>
    <t>안전총괄단</t>
  </si>
  <si>
    <t>현장 근로자 휴대용 체감온도 측정기 지급</t>
  </si>
  <si>
    <t>권오형</t>
  </si>
  <si>
    <t>[지정제안] 수영장 노후 코스로프 및 안전형 턴버클 교체를 통한 레인시설 안전성 강화</t>
  </si>
  <si>
    <t>김병철</t>
  </si>
  <si>
    <t>청소년수련관 소화기 위치이동 금지 표지판 설치</t>
  </si>
  <si>
    <t>신상조</t>
  </si>
  <si>
    <t>수영장 샤워장 출입구 안전거울 설치를 통한 이용객 안전 및 편의성 향상</t>
  </si>
  <si>
    <t>박종용</t>
  </si>
  <si>
    <t>기술4급</t>
  </si>
  <si>
    <t>개발사업 통합 리스크 관리체계 구축</t>
  </si>
  <si>
    <t>장영수</t>
  </si>
  <si>
    <t>UPS 배터리 관리 시스템(BMS) 도입을 통한 화재 예방</t>
  </si>
  <si>
    <t>이성준</t>
  </si>
  <si>
    <t>AI혁신</t>
  </si>
  <si>
    <t>[지정제안] 감사·리스크 AI에이전트 구축 활용을 통한 업무 효율 증대</t>
  </si>
  <si>
    <t>김민정</t>
  </si>
  <si>
    <t xml:space="preserve">시민회관체육운영처 수영부 </t>
  </si>
  <si>
    <t>체육6급</t>
  </si>
  <si>
    <t>시민회관체육운영처 수영부</t>
  </si>
  <si>
    <t>[지정제안] AI 신규회원 스마트 적응 시뮬레이션 구축</t>
  </si>
  <si>
    <t>윤귀환</t>
  </si>
  <si>
    <t>[지정제안] 친환경 수질관리 설비 도입을 통한 근로자·이용객 안전사고 예방 강화</t>
  </si>
  <si>
    <t>윤승현</t>
  </si>
  <si>
    <t>(소규모 공사 설계업무) AI 이미지 시각화 기반 공간 연출 및 신속한 의사결정 체계</t>
  </si>
  <si>
    <t>최성호</t>
  </si>
  <si>
    <t>[지정제안]조경자재·약제 구매단가 데이터화를 통한 예산절감 방안</t>
  </si>
  <si>
    <t>김동환</t>
  </si>
  <si>
    <t>[지정제안] 공사 불용(폐기) 물품 처리절차 개선 방안</t>
  </si>
  <si>
    <t>황광엽</t>
  </si>
  <si>
    <t>사업계획처 판매·보상부</t>
  </si>
  <si>
    <t>(실행제안)과천과천 공공주택지구 이주촉진 및 현장관리 전문지원체계 구축</t>
  </si>
  <si>
    <t>시설개선</t>
  </si>
  <si>
    <t>[실행제안] 관문체육공원 고사 느티나무 하부 녹지대 경관 정원 조성</t>
  </si>
  <si>
    <t>[실행제안] 관문체육공원 녹지대 저관리형 정원 조성</t>
  </si>
  <si>
    <t>유사(채택)</t>
  </si>
  <si>
    <t>2025-06-075 로우-메인터넌스 조경(Low-Maintenance:저관리형) 도입
심사결과: 채택 [2025년 제안 총괄 !I66]</t>
  </si>
  <si>
    <t>과거 심사결과가 채택인 비교안에 한해 검토함. 기존은 다년생·자생식물 위주 식재로 매년 재식재와 관리비를 줄이는 저관리형 조경을 제안함. 이번은 관문공원 화단에 다년생·상록 소교목을 식재하여 같은 원리를 실행하되 메주석 경계 재시공과 구체적 적용 장소가 추가됨.</t>
  </si>
  <si>
    <t>김혜경</t>
  </si>
  <si>
    <t>[지정제안] AI 기반 사규 개정업무 업무혁신</t>
  </si>
  <si>
    <t>[지정제안]사규 학습 퀴즈앱 도입</t>
  </si>
  <si>
    <t>이호형</t>
  </si>
  <si>
    <t xml:space="preserve">안전 </t>
  </si>
  <si>
    <t>[지정제안] 헬스장 트레드밀(런닝머신) 안전사고 예방</t>
  </si>
  <si>
    <t>박명진</t>
  </si>
  <si>
    <t>공원수련관관리처 박명진</t>
  </si>
  <si>
    <t>[지정제안]유실물 처리 내부 매뉴얼(개선)</t>
  </si>
  <si>
    <t>이영권</t>
  </si>
  <si>
    <t>[지정제안]공사 내 폐소화기 무상처리를 통한 처리비용 및 예산절감</t>
  </si>
  <si>
    <t>이호연</t>
  </si>
  <si>
    <t>[지정제안]장애인 도움벨 설치</t>
  </si>
  <si>
    <t>박인숙</t>
  </si>
  <si>
    <t>[지정제안] 외부 전문기관 연계 「익명신고센터」 운영</t>
  </si>
  <si>
    <t>[지정제안] AI 활용 업무 「인권리스크 사전점검제」 운영</t>
  </si>
  <si>
    <t>사규 개정 및 제도 개선</t>
  </si>
  <si>
    <t>[지정제안]소송업무 처리절차 간소화 및 이사회 의결대상 명확화</t>
  </si>
  <si>
    <t>성연우</t>
  </si>
  <si>
    <t>지역상생·협력</t>
  </si>
  <si>
    <t>[지정제안] 기업유치·민간협력 강화를 위한 「GCUC 기업·투자 파트너 등록제」 도입</t>
  </si>
  <si>
    <t>정옥환</t>
  </si>
  <si>
    <t>[지정제안]저비용·고효율 주차안전 개선을 위한 「수직(입체형) 주차유도선」 시범 도입</t>
  </si>
  <si>
    <t>배종윤</t>
  </si>
  <si>
    <t>[지정제안]운동기구 위험도 표시제(안전사고 예방을 위한 관리 강화 및 개선방안)</t>
  </si>
  <si>
    <t>2023-11-104 2023년글로벌정책추진국외연수_헬스장 운동기구 안전표시 개선
채택결과 확인 불가 [제안 본문에 심사결과 없음]
2022-12-180 근력운동기구 안전선 표기
채택결과 확인 불가 [제안 본문에 심사결과 없음]</t>
  </si>
  <si>
    <t>기구 안전표시·안전선 표기와 유사하지만 두 비교안의 채택결과를 확인할 수 없음. 또한 2023년 제안은 첨부 참조뿐이어서 위험등급 스티커와 단순 안전선 표시의 차이를 원문으로 확인해야 함. 제공 자료에서 채택 근거가 확인되지 않으므로 채택안과의 중복으로 확정하지 않음.</t>
  </si>
  <si>
    <t>지하연</t>
  </si>
  <si>
    <t>[지정제안] 시계탑광장 대관 및 운영기준 제도화를 통한 시민 이용편의 향상과 행정 효율성 제고</t>
  </si>
  <si>
    <t>양다혜</t>
  </si>
  <si>
    <t>사업계획처 판매보상부</t>
  </si>
  <si>
    <t>[지정제안] 시민회관 열린광장 프로젝트(공공공간 활용한 지역상생·민관협력형 생활문화공간 조성)</t>
  </si>
  <si>
    <t>최민기</t>
  </si>
  <si>
    <t>업무직</t>
  </si>
  <si>
    <t>[지정제안] 지하 2층 빙상장 복도 화장실 앞 충돌방지(미끄럼방지 겸용) 스티커 부착</t>
  </si>
  <si>
    <t>김민수</t>
  </si>
  <si>
    <t>[지정제안] 원스톱 상생결제시스템 도입</t>
  </si>
  <si>
    <t>한진욱</t>
  </si>
  <si>
    <t>[지정제안] AI를 활용한 엑셀매크로기반 원클릭 업무체계 구축</t>
  </si>
  <si>
    <t>안경선</t>
  </si>
  <si>
    <t>행정 4급</t>
  </si>
  <si>
    <t>곽용후</t>
  </si>
  <si>
    <t>시민회관체육운영처 볼링골프부</t>
  </si>
  <si>
    <t>체육7급</t>
  </si>
  <si>
    <t>[지정제안] 볼링 프로그램 추첨제 도입을 통한 수익 증대 및 운영 구조개선 방안</t>
  </si>
  <si>
    <t>김동규</t>
  </si>
  <si>
    <t>시설운영부</t>
  </si>
  <si>
    <t>안전사고 예방</t>
  </si>
  <si>
    <t>[지정제안] 시민회관 볼판 승강기 교체를 통한 안전사고 예방</t>
  </si>
  <si>
    <t>이정준</t>
  </si>
  <si>
    <t>[지정제안] 친환경 태양광 스마트벤치 도입을 통한 공원 내 야간 안전 강화 및 시민 편의 혁신</t>
  </si>
  <si>
    <t>보류(채택결과 미확인)</t>
  </si>
  <si>
    <t>2023-10-082 태양광 스마트 벤치 설치</t>
  </si>
  <si>
    <t>2023-10-082 태양광 스마트 벤치 설치
채택결과 확인 불가 [제안 본문에 심사결과 없음]</t>
  </si>
  <si>
    <t>기존 중복 표시를 재검토함. 태양광 벤치의 조명·충전 기능과 설치 공원은 겹치지만 과거 제안의 채택결과가 자료에 없음. 기존 중복 표시는 채택결과 확인 전 보류로 수정함. 제공 자료에서 채택 근거가 확인되지 않으므로 채택안과의 중복으로 확정하지 않음.</t>
  </si>
  <si>
    <t>[지정제안] 드론 도입을 통한 시설 예방관리 강화 및 개선 방안</t>
  </si>
  <si>
    <t>신동진</t>
  </si>
  <si>
    <t>[지정제안]안전사고 발굴 및 시설물 개선 필요사항 제안 체계 구축을 통한 사전 안전사고 예방</t>
  </si>
  <si>
    <t>이민호</t>
  </si>
  <si>
    <t>업무직(사무기술)</t>
  </si>
  <si>
    <t>[지정제안] 골프장 안전사고 방지용 보호대 설치</t>
  </si>
  <si>
    <t>2025-10-140 골프연습장 안전사고 예방을 위한 타석 간 그물망 설치
심사결과: 채택 [2025년 제안 총괄 !I129]</t>
  </si>
  <si>
    <t>과거 심사결과가 채택인 비교안에 한해 검토함. 기존은 골프연습장 타석 간 그물망을 설치하여 안전사고를 방지하는 제안임. 이번도 인접 타석으로 공이 유입되거나 튕겨 나오는 것을 막는 보호대 설치로 대상·목적이 겹침. 기존 본문은 붙임 참조이므로 그물망과 이번 보호대의 구조·차단 구간을 대조해야 함.</t>
  </si>
  <si>
    <t>변세진</t>
  </si>
  <si>
    <t>[지정제안] 상상하랑 어린이 프로그램 안심인계 호출벨 설치·운영</t>
  </si>
  <si>
    <t>김범석</t>
  </si>
  <si>
    <t>체육4급</t>
  </si>
  <si>
    <t>안전사고 예방을 위한 볼링장 산업안전보건협의체 운영</t>
  </si>
  <si>
    <t>한진숙</t>
  </si>
  <si>
    <t>[지정제안]일반민원 3일 일괄 처리기준을 민원 유형별 처리기간으로 개선</t>
  </si>
  <si>
    <t>(지정제안) 빙상장 피겨 강습 출입시 안내 문구 현수막</t>
  </si>
  <si>
    <t>과천 AI시민안전 파트너</t>
  </si>
  <si>
    <t>성화진</t>
  </si>
  <si>
    <t>기술 6급</t>
  </si>
  <si>
    <t>(지정제안) 운동 전 10초! 자가안전확인제 운영</t>
  </si>
  <si>
    <t>스마트 벤치마킹 AI 비서: 타 기관 우수사례 자동 분석 시스템</t>
  </si>
  <si>
    <t>박선경</t>
  </si>
  <si>
    <t>[실행제안]과천시민회관 빙상장 시재금 축소</t>
  </si>
  <si>
    <t>이은석</t>
  </si>
  <si>
    <t>AX 대전환 시범사업 추진 : 공공시설 AI청소로봇 도입</t>
  </si>
  <si>
    <t>김성희</t>
  </si>
  <si>
    <t>시설관리처 추차관리부</t>
  </si>
  <si>
    <t>QR코드를 활용한 공영주차장(유인) 모바일 사전정산 도입</t>
  </si>
  <si>
    <t>우한솔</t>
  </si>
  <si>
    <t>행정7급</t>
  </si>
  <si>
    <t>AI 기반 지방공기업 동향 모니터링 대시보드</t>
  </si>
  <si>
    <t>오세풍</t>
  </si>
  <si>
    <t>체육 5급</t>
  </si>
  <si>
    <t>(지정제안) 야외 체육시설 소화기 및 옥외 소화기함 설치 운영</t>
  </si>
  <si>
    <t>2025-10-191 시민 안심 잔디마당, 초기 대응 강화를 위한 옥외 소화기 설치
심사결과: 채택 [2025년 제안 총괄 !I174]</t>
  </si>
  <si>
    <t>과거 심사결과가 채택인 비교안에 한해 검토함. 기존은 잔디마당에 옥외 소화기·보관함·위치 표지를 설치하고 정기점검하는 제안임. 이번은 관문·문원·갈현 야외 체육시설에 소화기·밀폐형 보호함·축광 표지를 설치하는 방식으로 수단은 같고 적용 시설이 확대됨. 시설 차이만으로 신규성이 인정되는지 검토 필요.</t>
  </si>
  <si>
    <t>장소희</t>
  </si>
  <si>
    <t>생성형 AI를 활용한 체육공원 시설 안내도 제작 및 이용정보 개선</t>
  </si>
  <si>
    <t>신규사업 운영기준 수립을 통한 사업성·리스크 사전관리체계 구축</t>
  </si>
  <si>
    <t>김승현</t>
  </si>
  <si>
    <t>화재 대응 능력 강화를 위한 부착형 소화패치 도입</t>
  </si>
  <si>
    <t>2024-12-277 자동소화 패치 도입을 통한 전기 화재 예방
2022-12-197 소화패치(혁신제품) 활용으로 실내 화재방지(화재 초기 대응)</t>
  </si>
  <si>
    <t>2022-12-197 소화패치(혁신제품) 활용으로 실내 화재방지(화재 초기 대응)
채택결과 확인 불가 [제안 본문에 심사결과 없음]
2024-12-277 자동소화 패치 도입을 통한 전기 화재 예방
심사결과: 부적합 [2024년 제안!I141]</t>
  </si>
  <si>
    <t>기존 중복 표시를 재검토함. 2024-12-277은 부적합으로 채택안이 아니며, 2022-12-197은 본문만 있고 채택결과를 확인할 수 없음. 소화패치의 내용이 겹치더라도 채택 근거 확보 전에는 중복으로 확정할 수 없음. 제공 자료에서 채택 근거가 확인되지 않으므로 채택안과의 중복으로 확정하지 않음.</t>
  </si>
  <si>
    <t>김상현</t>
  </si>
  <si>
    <t>[지정제안] 영상미디어(QR코드)를 활용한 안전사고 예방</t>
  </si>
  <si>
    <t>빙상장 안전수칙 및 벌클스케이트 사용방법 QR코드 제작 사용
심사결과: 채택 [2021년 제안!I78, 연번 75]</t>
  </si>
  <si>
    <t>2021년 제안 시트 78행의 QR 안전수칙·버클스케이트 사용방법 제안은 심사결과 채택임. 안내내용·QR 전달수단은 겹치지만 이번은 영상과 대여 전 시청완료 확인을 추가함. 2025-10-124는 불채택&gt;50(40점)이므로 채택 근거에서 제외함.</t>
  </si>
  <si>
    <t>김만전</t>
  </si>
  <si>
    <t>시설이용 고객을 위한 안전수칙 제작 및 게시</t>
  </si>
  <si>
    <t>오준영</t>
  </si>
  <si>
    <t>기술7급</t>
  </si>
  <si>
    <t>[지정제안] 오픈소스 기반 전자서명 솔루션 구축</t>
  </si>
  <si>
    <t>[지정제안] 안내데스크 탄력적 무인운영을 통한 인건비 절감 및 수익구조 개선</t>
  </si>
  <si>
    <t>박병진</t>
  </si>
  <si>
    <t>행정7급(기간제)</t>
  </si>
  <si>
    <t>[지정제안] 전산·전력 마비 상황 대비 안내데스크 비상 운영 키트 배치</t>
  </si>
  <si>
    <t>(지정제안) 말하는 소화전, 소화기 도입</t>
  </si>
  <si>
    <t>김대호</t>
  </si>
  <si>
    <t>[지정제안] 전자계약 서비스 도입(단시간 강사 근로계약 체결 업무)</t>
  </si>
  <si>
    <t>[지정제안] 수영장 자유수영 속도별 맞춤 레인 운영</t>
  </si>
  <si>
    <t>[지정제안] 지역사회 협력을 통한 청소년 수영강사·수상안전요원 진로체험 프로그램 운영</t>
  </si>
  <si>
    <t>신정련</t>
  </si>
  <si>
    <t>(지정제안) 탈의실 락커 내 유휴공간 이용안내 홍보물 스티커 부착</t>
  </si>
  <si>
    <t>[지정제안] 맨발 이용객 안전을 위한 수영장 샤워실·탈의실 「유리용기ZERO」 운영</t>
  </si>
  <si>
    <t>신지인</t>
  </si>
  <si>
    <t>[지정제안] 경영평가 취약지표 극복을 위한 안전사고 전사 공유 체계 구축</t>
  </si>
  <si>
    <t>신은미</t>
  </si>
  <si>
    <t>[지정제안]업무추진비 집행기준 정립을 통한 투명한 관리체계 구축</t>
  </si>
  <si>
    <t>오예림</t>
  </si>
  <si>
    <t>[지정제안] 일시고용 근로시간 통합관리용 파일 구축</t>
  </si>
  <si>
    <t>수련관운영부</t>
  </si>
  <si>
    <t>박태준</t>
  </si>
  <si>
    <t>사업개발처 개발1부</t>
  </si>
  <si>
    <t>사업개발처 개발 1부</t>
  </si>
  <si>
    <t>[지정제안] QR 기반 현장안전점검 시스템 구축</t>
  </si>
  <si>
    <t>[지정제안] 공사·용역 업무 단계별 표준 체크리스트 제도화</t>
  </si>
  <si>
    <t>장연주</t>
  </si>
  <si>
    <t>[지정제안] 명함 QR코드를 활용한 부서별 업무정보 바로가기 구축</t>
  </si>
  <si>
    <t>심은혜</t>
  </si>
  <si>
    <t>사업개발처 개발2부</t>
  </si>
  <si>
    <t>[지정제안] AI 기반 사업정보 통합관리 시스템 구축</t>
  </si>
  <si>
    <t>조성인</t>
  </si>
  <si>
    <t>체육 6급</t>
  </si>
  <si>
    <t>[지정제안] 시민회관 부설주차장 주차질서 확립을 위한 관리체계 개선</t>
  </si>
  <si>
    <t>박자우</t>
  </si>
  <si>
    <t>[지정제안] 개별 게시판 검색의 비효율을 해소! 사내 시스템 통합검색 기능 구축</t>
  </si>
  <si>
    <t>이호서</t>
  </si>
  <si>
    <t xml:space="preserve">사업계획처 판매·보상부 </t>
  </si>
  <si>
    <t>[지정제안] 「시민주거복지상담소」 운영을 통한 주거복지 실현</t>
  </si>
  <si>
    <t>김은지</t>
  </si>
  <si>
    <t>[지정제안] 경기도장애인생산품판매시설과 업무협약(MOU)을 통한 장애인생산품 우선구매 활성화</t>
  </si>
  <si>
    <t>김진겸</t>
  </si>
  <si>
    <t>[지정제안] AI가 그리는 재무기상도 "불확실성을 넘어서는 선제적 리스크 조기경보 체계" 구축</t>
  </si>
  <si>
    <t>김경민</t>
  </si>
  <si>
    <t>[지정제] AI 기반 수영장 일일점검 및 전자결재 시스템 구축</t>
  </si>
  <si>
    <t>2025-10-190 체육시설 디지털 안전관리 시스템 도입
심사결과: 채택 [2025년 제안 총괄 !I173]</t>
  </si>
  <si>
    <t>2025-10-190은 채택으로 확인됨. 모바일 안전점검·위험요인 사진 신고·이력관리 기능이 이번 수영장 점검·조치이력과 겹치지만, 부서장 전자결재와 수영장 특화 범위는 추가됨. 단순 중복 확정이 아닌 기능범위 차이를 확인할 대상임. 2022-12-167은 채택결과 미확인으로 근거에서 제외함.</t>
  </si>
  <si>
    <t>신송식</t>
  </si>
  <si>
    <t>사업개발처 기술지원부</t>
  </si>
  <si>
    <t>기타</t>
  </si>
  <si>
    <t>경차 전용 주차구역 이용질서 준수유도</t>
  </si>
  <si>
    <t>이승호</t>
  </si>
  <si>
    <t xml:space="preserve">사업개발처 기술지원부 </t>
  </si>
  <si>
    <t>비상벨 및 CCTV 연동을 통한 스마트 안전관제 시스템 구축</t>
  </si>
  <si>
    <t>이희진</t>
  </si>
  <si>
    <t>「지정제안」 임직원 참여형 지역상생 실천 릴레이 캠페인 추진</t>
  </si>
  <si>
    <t>최지연</t>
  </si>
  <si>
    <t>여가체육부</t>
  </si>
  <si>
    <t>[지정제안]에너지절약 실천 체크리스트 일일 기안 폐지 및 실효성 중심의 점검체계 개편</t>
  </si>
  <si>
    <t>우세림</t>
  </si>
  <si>
    <t>[지정제안]AI TTS를 활용한 아침방송 자동화 및 업무 효율화</t>
  </si>
  <si>
    <t>관문공원 자동안내방송 프로그램(TTS) 설치
심사결과: 채택 [2021년 제안!I66, 연번 63]</t>
  </si>
  <si>
    <t>관문공원 자동안내방송 TTS 제안은 2021년 제안 시트 66행에서 채택으로 확인됨. 문자를 음성으로 변환하여 육성 방송을 대체·표준화하는 방식은 같으나 이번은 사내 아침방송에 AI 음성·원고검토·편집·예약송출을 적용함. 적용업무와 추가 절차의 차별성 검토 필요.</t>
  </si>
  <si>
    <t>[지정제안] 정원가산업무비 지역화폐 지급을 통한 지역경제 활성화</t>
  </si>
  <si>
    <t>[지정제안]국내 벤치마킹 연계 지역경제 활성화 추진</t>
  </si>
  <si>
    <t>담당자 경험 중심의 건설사업 리스크 관리를 AI·데이터 기반 관리체계로 전환</t>
  </si>
  <si>
    <t>「지정제안」 재난 구호 지원단 인력풀 운영</t>
  </si>
  <si>
    <t>관문체육공원 연계 「과천 숲 회복 스테이션」</t>
  </si>
  <si>
    <t>김선호</t>
  </si>
  <si>
    <t>[지정제안]카카오톡 챗봇 연계형 보이는 ARS 서비스 구축</t>
  </si>
  <si>
    <t>2024-12-291 보이는 ARS 연결 시스템
심사결과: 채택 [2024년 제안!I154]</t>
  </si>
  <si>
    <t>보이는 ARS 연결 시스템(2024-12-291)은 채택으로 확인됨. 화면 메뉴·시설 안내·상담원 연결 기능이 겹치며 이번은 챗봇 링크 알림톡과 음성 트랙 유지를 결합함. ARS 기능 중복과 새 연계 흐름의 차별성을 나누어 검토해야 함. 2024-07-096은 불채택, 2025-06-065는 과락3명으로 채택 근거에서 제외함.</t>
  </si>
  <si>
    <t>이우익</t>
  </si>
  <si>
    <t>[지정제안] 시민회관 전력감시제어설비 교체를 통한 안전사고 예방</t>
  </si>
  <si>
    <t>[지정제안] 전기자전거 안전사고 예방을 위한 안전모 비치</t>
  </si>
  <si>
    <t>이현</t>
  </si>
  <si>
    <t>[지정제안] 계약정보공개 방법 개선</t>
  </si>
  <si>
    <t>임용섭</t>
  </si>
  <si>
    <t>[지정제안] 청소년수련관 체육관 사각지대 CCTV설치</t>
  </si>
  <si>
    <t>[지정제안] 스마트빗물받이덮개 설치</t>
  </si>
  <si>
    <t>최윤호</t>
  </si>
  <si>
    <t>[지정제안] 건설현장 디지털 기반 동영상 공정(안전) 관리 도입</t>
  </si>
  <si>
    <t>김효정</t>
  </si>
  <si>
    <t>사업개발처 개발 2부</t>
  </si>
  <si>
    <t>[지정제안] 설계용역 과업변경에 따른 계약금액 조정기준 마련</t>
  </si>
  <si>
    <t>[지정제안] 공사근로자 노무비 청구 및 지급관리 기준 마련</t>
  </si>
  <si>
    <t>박소원</t>
  </si>
  <si>
    <t>미래전략실 스마트보부</t>
  </si>
  <si>
    <t>[지정제안] AI 기반 실시간 인원관리시스템을 활용한 체육시설 안전관리 강화</t>
  </si>
  <si>
    <t>[지정제안] 개인정보 수집·이용 동의서 점검 에이전트 구축</t>
  </si>
  <si>
    <t>[지정제안] 설계변경 실정보고 등 오류 파악을 위한 AI감리 도입</t>
  </si>
  <si>
    <t>한효진</t>
  </si>
  <si>
    <t>[지정제안] AI 기반 도시개발 조감도 및 공간 시각화 프로세스 구축</t>
  </si>
  <si>
    <t>중장비·근로자 양방향 스마트 조끼 도입을 통한 사각지대 안전사고 예방</t>
  </si>
  <si>
    <t>유창훈</t>
  </si>
  <si>
    <t>과천시 지하연계시설 안전사고 예방을 위한 합동안전캠페인 실시</t>
  </si>
  <si>
    <t>안석열</t>
  </si>
  <si>
    <t>회전형 3D 홀로그램 LED 팬을 활용한 수영장 안전이용 안내</t>
  </si>
  <si>
    <t>정재우</t>
  </si>
  <si>
    <t>링크장 출입문 내 주의사항</t>
  </si>
  <si>
    <t>변정환</t>
  </si>
  <si>
    <t>시니어 안전지킴이</t>
  </si>
  <si>
    <t>최성훈</t>
  </si>
  <si>
    <t>잔디마당 과천시 상인 프리 마켓 운영</t>
  </si>
  <si>
    <t>2023-07-054 자원선순환 활성화 플리마켓 개최
채택결과 확인 불가 [제안 본문에 심사결과 없음]
2022-12-241 직원 중고장터 &amp; 플리마켓 활성화
채택결과 확인 불가 [제안 본문에 심사결과 없음]</t>
  </si>
  <si>
    <t>비교한 두 플리마켓 제안은 채택결과를 확인할 수 없음. 직원 중고물품·자원순환 행사와 이번 지역상인 판로 지원은 참여자·물품·목적에도 차이가 있음. 제공 자료에서 채택 근거가 확인되지 않으므로 채택안과의 중복으로 확정하지 않음.</t>
  </si>
  <si>
    <t>조은희</t>
  </si>
  <si>
    <t>AI를 활용한 QR코드 및 GPS 기반 셔틀버스 비정규직 근로자 복무관리 자동화</t>
  </si>
  <si>
    <t>최성근</t>
  </si>
  <si>
    <t>(실행제안) 관문체육공원 태양광 발전시설 하부 안전보호재 설치</t>
  </si>
  <si>
    <t>장애인 주차구역 스마트단속시스템</t>
  </si>
  <si>
    <t>사원증 QR을 활용한 디지털 명함 도입 및 종이명함 제작 최소화</t>
  </si>
  <si>
    <t>조아라</t>
  </si>
  <si>
    <t>관문실내체육관 배드민턴 고정식 지주대 설치</t>
  </si>
  <si>
    <t>배드민턴 지줏대 모서리 보호대 설치
심사결과: 채택 [2021년 제안!I199, 연번 196]</t>
  </si>
  <si>
    <t>같은 제안자 조아라의 지줏대 모서리 보호대 설치는 2021년 제안 시트 199행에서 채택으로 확인됨. 안전 목적과 대상은 같지만 이번은 이동식 보호대 부착 대신 바닥 타공 후 고정식 지주대로 전환하여 이동·정리 위험까지 줄이는 구조 개선임. 과거 첨부 원문과 차별성 확인 필요.</t>
  </si>
  <si>
    <t>업무제안</t>
  </si>
  <si>
    <t>수영장 샤워기 번호표 부착 제작</t>
  </si>
  <si>
    <t>관문실내체육관 자폐식 샤워수전 수동스탑 부품 교체를 통한 절수 제안</t>
  </si>
  <si>
    <t>2021-12-217 절수형 샤워기 설치
심사결과: 부적합(중복) [2022년 제안!G252]
2022-12-328 반응형 절수 장치 설치를 통한 수자원 절약
채택결과 확인 불가 [제안 본문에 심사결과 없음]</t>
  </si>
  <si>
    <t>2021-12-217은 부적합(중복)으로 채택안이 아니며, 2022-12-328은 채택결과를 확인할 수 없음. 이번 수동 중간차단 방식은 절수형 유량저감·반응형 수전과 작동원리도 다름. 제공 자료에서 채택 근거가 확인되지 않으므로 채택안과의 중복으로 확정하지 않음.</t>
  </si>
  <si>
    <t>직무제안</t>
  </si>
  <si>
    <t>AI 활용 제안심사 홈페이지 구축을 통한 심사 업무 효율화</t>
  </si>
  <si>
    <t>나갑성</t>
  </si>
  <si>
    <t>경영지원실</t>
  </si>
  <si>
    <t>완강기 빨간 테이프 부착을 통한 소방시설 시인성 개선 제안</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</si>
</sst>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_);[Red]\(0\)"/>
    <numFmt numFmtId="177" formatCode="yyyy\-mm\-dd\ hh:mm"/>
  </numFmts>
  <fonts count="13">
    <font>
      <sz val="11"/>
      <color theme="1"/>
      <name val="맑은 고딕"/>
      <family val="2"/>
      <scheme val="minor"/>
    </font>
    <font>
      <sz val="10"/>
      <name val="굴림"/>
      <family val="3"/>
    </font>
    <font>
      <sz val="11"/>
      <name val="Carlito"/>
    </font>
    <font>
      <sz val="9"/>
      <name val="굴림"/>
      <family val="3"/>
    </font>
    <font>
      <sz val="9"/>
      <name val="맑은 고딕"/>
      <family val="3"/>
      <scheme val="minor"/>
    </font>
    <font>
      <sz val="9"/>
      <color rgb="FF17243A"/>
      <name val="맑은 고딕"/>
      <family val="3"/>
      <scheme val="minor"/>
    </font>
    <font>
      <b/>
      <sz val="8"/>
      <name val="굴림"/>
      <family val="3"/>
    </font>
    <font>
      <sz val="8"/>
      <name val="굴림"/>
      <family val="3"/>
    </font>
    <font>
      <sz val="9"/>
      <color rgb="FFFF0000"/>
      <name val="맑은 고딕"/>
      <family val="3"/>
      <scheme val="minor"/>
    </font>
    <font>
      <b/>
      <sz val="11"/>
      <color rgb="FFFFFFFF"/>
      <name val="맑은 고딕"/>
      <family val="3"/>
    </font>
    <font>
      <sz val="10"/>
      <name val="맑은 고딕"/>
      <family val="3"/>
    </font>
    <font>
      <sz val="10"/>
      <name val="맑은 고딕"/>
      <family val="3"/>
      <scheme val="minor"/>
    </font>
    <font>
      <sz val="8"/>
      <name val="맑은 고딕"/>
      <family val="3"/>
      <charset val="129"/>
      <scheme val="minor"/>
    </font>
  </fonts>
  <fills count="9">
    <fill>
      <patternFill patternType="none"/>
    </fill>
    <fill>
      <patternFill patternType="gray125"/>
    </fill>
    <fill>
      <patternFill patternType="solid">
        <fgColor theme="4" tint="0.79985961485641044"/>
        <bgColor indexed="65"/>
      </patternFill>
    </fill>
    <fill>
      <patternFill patternType="solid">
        <fgColor theme="0"/>
      </patternFill>
    </fill>
    <fill>
      <patternFill patternType="solid">
        <fgColor rgb="FF1F4E78"/>
      </patternFill>
    </fill>
    <fill>
      <patternFill patternType="solid">
        <fgColor rgb="FFFFFF00"/>
      </patternFill>
    </fill>
    <fill>
      <patternFill patternType="solid">
        <fgColor rgb="FFF2F2F2"/>
      </patternFill>
    </fill>
    <fill>
      <patternFill patternType="solid">
        <fgColor rgb="FFFCE4D6"/>
      </patternFill>
    </fill>
    <fill>
      <patternFill patternType="solid">
        <fgColor rgb="FFEAF1F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2" fillId="0" borderId="0"/>
  </cellStyleXfs>
  <cellXfs count="46">
    <xf numFmtId="0" fontId="0" fillId="0" borderId="0" xfId="0">
      <alignment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left" vertical="center"/>
    </xf>
    <xf numFmtId="176" fontId="1" fillId="3" borderId="0" xfId="0" applyNumberFormat="1" applyFont="1" applyFill="1" applyAlignment="1">
      <alignment horizontal="center" vertical="center"/>
    </xf>
    <xf numFmtId="176" fontId="1" fillId="0" borderId="0" xfId="0" applyNumberFormat="1" applyFont="1" applyAlignment="1">
      <alignment horizontal="center" vertical="center"/>
    </xf>
    <xf numFmtId="0" fontId="6" fillId="2" borderId="1" xfId="0" applyFont="1" applyFill="1" applyBorder="1" applyAlignment="1">
      <alignment horizontal="center" vertical="center"/>
    </xf>
    <xf numFmtId="0" fontId="7" fillId="0" borderId="0" xfId="0" applyFont="1" applyAlignment="1">
      <alignment horizontal="center" vertical="center"/>
    </xf>
    <xf numFmtId="0" fontId="1" fillId="0" borderId="0" xfId="0" applyFont="1" applyFill="1" applyAlignment="1">
      <alignment horizontal="center" vertical="center"/>
    </xf>
    <xf numFmtId="0" fontId="4" fillId="0" borderId="0" xfId="0" applyFont="1" applyAlignment="1">
      <alignment horizontal="center" vertical="center"/>
    </xf>
    <xf numFmtId="0" fontId="9" fillId="4" borderId="0" xfId="0" applyNumberFormat="1" applyFont="1" applyFill="1" applyBorder="1" applyAlignment="1">
      <alignment horizontal="center" vertical="center" wrapText="1"/>
    </xf>
    <xf numFmtId="0" fontId="11" fillId="0" borderId="0"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11" fillId="0" borderId="1" xfId="0" applyNumberFormat="1" applyFont="1" applyFill="1" applyBorder="1" applyAlignment="1">
      <alignment horizontal="center" vertical="top" wrapText="1"/>
    </xf>
    <xf numFmtId="0" fontId="1" fillId="5" borderId="0" xfId="0" applyFont="1" applyFill="1" applyAlignment="1">
      <alignment horizontal="center" vertical="center"/>
    </xf>
    <xf numFmtId="0" fontId="4" fillId="5" borderId="0" xfId="0" applyFont="1" applyFill="1" applyAlignment="1">
      <alignment horizontal="center" vertical="center"/>
    </xf>
    <xf numFmtId="0" fontId="10" fillId="6" borderId="1" xfId="0" applyNumberFormat="1" applyFont="1" applyFill="1" applyBorder="1" applyAlignment="1">
      <alignment horizontal="center" vertical="top" wrapText="1"/>
    </xf>
    <xf numFmtId="0" fontId="10" fillId="7" borderId="1" xfId="0" applyNumberFormat="1" applyFont="1" applyFill="1" applyBorder="1" applyAlignment="1">
      <alignment horizontal="center" vertical="top" wrapText="1"/>
    </xf>
    <xf numFmtId="0" fontId="10" fillId="8" borderId="1" xfId="0" applyNumberFormat="1" applyFont="1" applyFill="1" applyBorder="1" applyAlignment="1">
      <alignment horizontal="center" vertical="top" wrapText="1"/>
    </xf>
    <xf numFmtId="0" fontId="11" fillId="8" borderId="1" xfId="0" applyNumberFormat="1" applyFont="1" applyFill="1" applyBorder="1" applyAlignment="1">
      <alignment horizontal="center" vertical="top" wrapText="1"/>
    </xf>
    <xf numFmtId="0" fontId="11" fillId="6" borderId="1" xfId="0" applyNumberFormat="1" applyFont="1" applyFill="1" applyBorder="1" applyAlignment="1">
      <alignment horizontal="center" vertical="top" wrapText="1"/>
    </xf>
    <xf numFmtId="0" fontId="11" fillId="7" borderId="1" xfId="0" applyNumberFormat="1" applyFont="1" applyFill="1" applyBorder="1" applyAlignment="1">
      <alignment horizontal="center" vertical="top" wrapText="1"/>
    </xf>
    <xf numFmtId="176" fontId="6" fillId="0" borderId="0" xfId="0" applyNumberFormat="1" applyFont="1" applyFill="1" applyBorder="1" applyAlignment="1">
      <alignment horizontal="center" vertical="center"/>
    </xf>
    <xf numFmtId="176" fontId="4" fillId="0" borderId="0" xfId="0" applyNumberFormat="1" applyFont="1" applyFill="1" applyBorder="1" applyAlignment="1">
      <alignment horizontal="center" vertical="center"/>
    </xf>
    <xf numFmtId="176" fontId="6" fillId="2" borderId="2" xfId="0" applyNumberFormat="1" applyFont="1" applyFill="1" applyBorder="1" applyAlignment="1">
      <alignment horizontal="center" vertical="center"/>
    </xf>
    <xf numFmtId="176" fontId="3" fillId="0" borderId="2" xfId="0" applyNumberFormat="1" applyFont="1" applyFill="1" applyBorder="1" applyAlignment="1">
      <alignment horizontal="center" vertical="center"/>
    </xf>
    <xf numFmtId="176" fontId="4" fillId="0" borderId="2" xfId="0" applyNumberFormat="1" applyFont="1" applyFill="1" applyBorder="1" applyAlignment="1">
      <alignment horizontal="center" vertical="center"/>
    </xf>
    <xf numFmtId="0" fontId="10" fillId="0" borderId="3" xfId="0" applyNumberFormat="1" applyFont="1" applyFill="1" applyBorder="1" applyAlignment="1">
      <alignment horizontal="center" vertical="top" wrapText="1"/>
    </xf>
    <xf numFmtId="0" fontId="10" fillId="6" borderId="3" xfId="0" applyNumberFormat="1" applyFont="1" applyFill="1" applyBorder="1" applyAlignment="1">
      <alignment horizontal="center" vertical="top" wrapText="1"/>
    </xf>
    <xf numFmtId="0" fontId="10" fillId="7" borderId="3" xfId="0" applyNumberFormat="1" applyFont="1" applyFill="1" applyBorder="1" applyAlignment="1">
      <alignment horizontal="center" vertical="top" wrapText="1"/>
    </xf>
    <xf numFmtId="0" fontId="10" fillId="8" borderId="3" xfId="0" applyNumberFormat="1" applyFont="1" applyFill="1" applyBorder="1" applyAlignment="1">
      <alignment horizontal="center" vertical="top" wrapText="1"/>
    </xf>
    <xf numFmtId="0" fontId="11" fillId="0" borderId="3" xfId="0" applyNumberFormat="1" applyFont="1" applyFill="1" applyBorder="1" applyAlignment="1">
      <alignment horizontal="center" vertical="top" wrapText="1"/>
    </xf>
    <xf numFmtId="0" fontId="11" fillId="8" borderId="3" xfId="0" applyNumberFormat="1" applyFont="1" applyFill="1" applyBorder="1" applyAlignment="1">
      <alignment horizontal="center" vertical="top" wrapText="1"/>
    </xf>
    <xf numFmtId="0" fontId="11" fillId="7" borderId="3" xfId="0" applyNumberFormat="1" applyFont="1" applyFill="1" applyBorder="1" applyAlignment="1">
      <alignment horizontal="center" vertical="top" wrapText="1"/>
    </xf>
    <xf numFmtId="176" fontId="3"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0" fontId="4" fillId="0" borderId="1" xfId="0" applyFont="1" applyFill="1" applyBorder="1" applyAlignment="1">
      <alignment horizontal="center" vertical="center"/>
    </xf>
    <xf numFmtId="1" fontId="5" fillId="0" borderId="1" xfId="1" applyNumberFormat="1" applyFont="1" applyFill="1" applyBorder="1" applyAlignment="1">
      <alignment horizontal="center" vertical="center"/>
    </xf>
    <xf numFmtId="0" fontId="5" fillId="0" borderId="1" xfId="1" applyFont="1" applyFill="1" applyBorder="1" applyAlignment="1">
      <alignment horizontal="center" vertical="center"/>
    </xf>
    <xf numFmtId="177" fontId="5" fillId="0" borderId="1" xfId="1" applyNumberFormat="1" applyFont="1" applyFill="1" applyBorder="1" applyAlignment="1">
      <alignment horizontal="center" vertical="center"/>
    </xf>
    <xf numFmtId="0" fontId="5" fillId="0" borderId="1" xfId="1" applyFont="1" applyFill="1" applyBorder="1" applyAlignment="1">
      <alignment horizontal="left" vertical="center" wrapText="1"/>
    </xf>
    <xf numFmtId="176" fontId="3" fillId="0" borderId="1" xfId="0" applyNumberFormat="1" applyFont="1" applyFill="1" applyBorder="1" applyAlignment="1">
      <alignment horizontal="center" vertical="center"/>
    </xf>
    <xf numFmtId="0" fontId="8" fillId="0" borderId="1" xfId="1" applyFont="1" applyFill="1" applyBorder="1" applyAlignment="1">
      <alignment horizontal="left" vertical="center" wrapText="1"/>
    </xf>
    <xf numFmtId="176" fontId="4" fillId="0"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0" fontId="4" fillId="0" borderId="1" xfId="0" applyFont="1" applyFill="1" applyBorder="1" applyAlignment="1">
      <alignment horizontal="left" vertical="center"/>
    </xf>
  </cellXfs>
  <cellStyles count="2">
    <cellStyle name="Normal" xfId="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5"/>
  <sheetViews>
    <sheetView tabSelected="1" topLeftCell="A121" workbookViewId="0">
      <selection activeCell="B136" sqref="B136"/>
    </sheetView>
  </sheetViews>
  <sheetFormatPr defaultRowHeight="16.5"/>
  <cols>
    <col min="1" max="1" width="4.375" style="1" customWidth="1"/>
    <col min="2" max="2" width="7.375" style="1" customWidth="1"/>
    <col min="3" max="3" width="8.5" style="1" customWidth="1"/>
    <col min="4" max="4" width="24.125" style="1" customWidth="1"/>
    <col min="5" max="5" width="8.5" style="1" customWidth="1"/>
    <col min="6" max="6" width="8.375" style="1" customWidth="1"/>
    <col min="7" max="7" width="14.75" style="1" customWidth="1"/>
    <col min="8" max="8" width="24.75" style="1" customWidth="1"/>
    <col min="9" max="9" width="16.625" style="1" customWidth="1"/>
    <col min="10" max="10" width="73.5" style="3" customWidth="1"/>
    <col min="11" max="11" width="11.625" style="1" customWidth="1"/>
    <col min="12" max="12" width="44" style="3" customWidth="1"/>
    <col min="13" max="13" width="8.125" style="4" customWidth="1"/>
    <col min="14" max="14" width="10.125" style="5" customWidth="1"/>
    <col min="15" max="15" width="6" style="35" customWidth="1"/>
    <col min="16" max="16" width="29" customWidth="1"/>
    <col min="17" max="17" width="68" customWidth="1"/>
    <col min="18" max="18" width="96" customWidth="1"/>
    <col min="19" max="16384" width="9" style="1"/>
  </cols>
  <sheetData>
    <row r="1" spans="1:18" s="7" customFormat="1" ht="23.25" customHeight="1">
      <c r="A1" s="6" t="s">
        <v>0</v>
      </c>
      <c r="B1" s="6" t="s">
        <v>1</v>
      </c>
      <c r="C1" s="6" t="s">
        <v>2</v>
      </c>
      <c r="D1" s="6" t="s">
        <v>3</v>
      </c>
      <c r="E1" s="6" t="s">
        <v>4</v>
      </c>
      <c r="F1" s="6" t="s">
        <v>5</v>
      </c>
      <c r="G1" s="6" t="s">
        <v>6</v>
      </c>
      <c r="H1" s="6" t="s">
        <v>7</v>
      </c>
      <c r="I1" s="6" t="s">
        <v>8</v>
      </c>
      <c r="J1" s="6" t="s">
        <v>9</v>
      </c>
      <c r="K1" s="6" t="s">
        <v>10</v>
      </c>
      <c r="L1" s="6" t="s">
        <v>11</v>
      </c>
      <c r="M1" s="6" t="s">
        <v>12</v>
      </c>
      <c r="N1" s="24" t="s">
        <v>13</v>
      </c>
      <c r="O1" s="22"/>
      <c r="P1" s="10" t="s">
        <v>14</v>
      </c>
      <c r="Q1" s="10" t="s">
        <v>15</v>
      </c>
      <c r="R1" s="10" t="s">
        <v>16</v>
      </c>
    </row>
    <row r="2" spans="1:18" s="8" customFormat="1" ht="19.5" customHeight="1">
      <c r="A2" s="36">
        <f t="shared" ref="A2:A17" si="0">ROW()-1</f>
        <v>1</v>
      </c>
      <c r="B2" s="37">
        <v>4</v>
      </c>
      <c r="C2" s="38" t="s">
        <v>17</v>
      </c>
      <c r="D2" s="38" t="s">
        <v>18</v>
      </c>
      <c r="E2" s="38" t="s">
        <v>19</v>
      </c>
      <c r="F2" s="36" t="s">
        <v>20</v>
      </c>
      <c r="G2" s="36" t="s">
        <v>21</v>
      </c>
      <c r="H2" s="38" t="s">
        <v>18</v>
      </c>
      <c r="I2" s="39">
        <v>46231.452777777777</v>
      </c>
      <c r="J2" s="40" t="s">
        <v>22</v>
      </c>
      <c r="K2" s="36"/>
      <c r="L2" s="40"/>
      <c r="M2" s="41"/>
      <c r="N2" s="25"/>
      <c r="O2" s="34"/>
      <c r="P2" s="27"/>
      <c r="Q2" s="12"/>
      <c r="R2" s="12"/>
    </row>
    <row r="3" spans="1:18" s="8" customFormat="1" ht="19.5" customHeight="1">
      <c r="A3" s="36">
        <f t="shared" si="0"/>
        <v>2</v>
      </c>
      <c r="B3" s="37">
        <v>5</v>
      </c>
      <c r="C3" s="38" t="s">
        <v>23</v>
      </c>
      <c r="D3" s="38" t="s">
        <v>24</v>
      </c>
      <c r="E3" s="38" t="s">
        <v>25</v>
      </c>
      <c r="F3" s="36" t="s">
        <v>20</v>
      </c>
      <c r="G3" s="36" t="s">
        <v>26</v>
      </c>
      <c r="H3" s="38" t="s">
        <v>24</v>
      </c>
      <c r="I3" s="39">
        <v>46233.396527777775</v>
      </c>
      <c r="J3" s="40" t="s">
        <v>27</v>
      </c>
      <c r="K3" s="36"/>
      <c r="L3" s="40"/>
      <c r="M3" s="41"/>
      <c r="N3" s="25"/>
      <c r="O3" s="34"/>
      <c r="P3" s="27"/>
      <c r="Q3" s="12"/>
      <c r="R3" s="12"/>
    </row>
    <row r="4" spans="1:18" s="8" customFormat="1" ht="63.95" customHeight="1">
      <c r="A4" s="36">
        <f t="shared" si="0"/>
        <v>3</v>
      </c>
      <c r="B4" s="37">
        <v>6</v>
      </c>
      <c r="C4" s="38" t="s">
        <v>28</v>
      </c>
      <c r="D4" s="38" t="s">
        <v>29</v>
      </c>
      <c r="E4" s="38" t="s">
        <v>30</v>
      </c>
      <c r="F4" s="36" t="s">
        <v>31</v>
      </c>
      <c r="G4" s="36" t="s">
        <v>32</v>
      </c>
      <c r="H4" s="38" t="s">
        <v>33</v>
      </c>
      <c r="I4" s="39">
        <v>46259.663194444445</v>
      </c>
      <c r="J4" s="40" t="s">
        <v>34</v>
      </c>
      <c r="K4" s="36"/>
      <c r="L4" s="40"/>
      <c r="M4" s="41"/>
      <c r="N4" s="25"/>
      <c r="O4" s="34"/>
      <c r="P4" s="27"/>
      <c r="Q4" s="12"/>
      <c r="R4" s="12"/>
    </row>
    <row r="5" spans="1:18" s="8" customFormat="1" ht="63.95" customHeight="1">
      <c r="A5" s="36">
        <f t="shared" si="0"/>
        <v>4</v>
      </c>
      <c r="B5" s="37">
        <v>8</v>
      </c>
      <c r="C5" s="38" t="s">
        <v>35</v>
      </c>
      <c r="D5" s="38" t="s">
        <v>36</v>
      </c>
      <c r="E5" s="38" t="s">
        <v>19</v>
      </c>
      <c r="F5" s="36" t="s">
        <v>37</v>
      </c>
      <c r="G5" s="36" t="s">
        <v>38</v>
      </c>
      <c r="H5" s="38" t="s">
        <v>39</v>
      </c>
      <c r="I5" s="39">
        <v>46233.494444444441</v>
      </c>
      <c r="J5" s="40" t="s">
        <v>40</v>
      </c>
      <c r="K5" s="36"/>
      <c r="L5" s="40"/>
      <c r="M5" s="41"/>
      <c r="N5" s="25"/>
      <c r="O5" s="34"/>
      <c r="P5" s="27"/>
      <c r="Q5" s="12"/>
      <c r="R5" s="12"/>
    </row>
    <row r="6" spans="1:18" s="8" customFormat="1" ht="19.5" customHeight="1">
      <c r="A6" s="36">
        <f t="shared" si="0"/>
        <v>5</v>
      </c>
      <c r="B6" s="37">
        <v>9</v>
      </c>
      <c r="C6" s="38" t="s">
        <v>41</v>
      </c>
      <c r="D6" s="38" t="s">
        <v>39</v>
      </c>
      <c r="E6" s="38" t="s">
        <v>25</v>
      </c>
      <c r="F6" s="36" t="s">
        <v>20</v>
      </c>
      <c r="G6" s="36" t="s">
        <v>32</v>
      </c>
      <c r="H6" s="38" t="s">
        <v>42</v>
      </c>
      <c r="I6" s="39">
        <v>46233.551388888889</v>
      </c>
      <c r="J6" s="40" t="s">
        <v>43</v>
      </c>
      <c r="K6" s="36"/>
      <c r="L6" s="40"/>
      <c r="M6" s="41"/>
      <c r="N6" s="25"/>
      <c r="O6" s="34"/>
      <c r="P6" s="27"/>
      <c r="Q6" s="12"/>
      <c r="R6" s="12"/>
    </row>
    <row r="7" spans="1:18" s="8" customFormat="1" ht="19.5" customHeight="1">
      <c r="A7" s="36">
        <f t="shared" si="0"/>
        <v>6</v>
      </c>
      <c r="B7" s="37">
        <v>10</v>
      </c>
      <c r="C7" s="38" t="s">
        <v>44</v>
      </c>
      <c r="D7" s="38" t="s">
        <v>45</v>
      </c>
      <c r="E7" s="38" t="s">
        <v>46</v>
      </c>
      <c r="F7" s="36" t="s">
        <v>20</v>
      </c>
      <c r="G7" s="36" t="s">
        <v>32</v>
      </c>
      <c r="H7" s="38" t="s">
        <v>47</v>
      </c>
      <c r="I7" s="39">
        <v>46233.572222222225</v>
      </c>
      <c r="J7" s="40" t="s">
        <v>48</v>
      </c>
      <c r="K7" s="36"/>
      <c r="L7" s="40"/>
      <c r="M7" s="41"/>
      <c r="N7" s="25"/>
      <c r="O7" s="34"/>
      <c r="P7" s="27"/>
      <c r="Q7" s="12"/>
      <c r="R7" s="12"/>
    </row>
    <row r="8" spans="1:18" ht="63.95" customHeight="1">
      <c r="A8" s="36">
        <f t="shared" si="0"/>
        <v>7</v>
      </c>
      <c r="B8" s="37">
        <v>12</v>
      </c>
      <c r="C8" s="38" t="s">
        <v>49</v>
      </c>
      <c r="D8" s="38" t="s">
        <v>24</v>
      </c>
      <c r="E8" s="38" t="s">
        <v>46</v>
      </c>
      <c r="F8" s="36" t="s">
        <v>20</v>
      </c>
      <c r="G8" s="36" t="s">
        <v>50</v>
      </c>
      <c r="H8" s="38" t="s">
        <v>51</v>
      </c>
      <c r="I8" s="39">
        <v>46233.704166666663</v>
      </c>
      <c r="J8" s="40" t="s">
        <v>52</v>
      </c>
      <c r="K8" s="36"/>
      <c r="L8" s="40"/>
      <c r="M8" s="41"/>
      <c r="N8" s="25"/>
      <c r="O8" s="34"/>
      <c r="P8" s="27"/>
      <c r="Q8" s="12"/>
      <c r="R8" s="12"/>
    </row>
    <row r="9" spans="1:18" ht="63.95" customHeight="1">
      <c r="A9" s="36">
        <f t="shared" si="0"/>
        <v>8</v>
      </c>
      <c r="B9" s="37">
        <v>13</v>
      </c>
      <c r="C9" s="38" t="s">
        <v>53</v>
      </c>
      <c r="D9" s="38" t="s">
        <v>54</v>
      </c>
      <c r="E9" s="38" t="s">
        <v>55</v>
      </c>
      <c r="F9" s="36" t="s">
        <v>37</v>
      </c>
      <c r="G9" s="36" t="s">
        <v>32</v>
      </c>
      <c r="H9" s="38" t="s">
        <v>54</v>
      </c>
      <c r="I9" s="39">
        <v>46233.704166666663</v>
      </c>
      <c r="J9" s="40" t="s">
        <v>56</v>
      </c>
      <c r="K9" s="36"/>
      <c r="L9" s="40"/>
      <c r="M9" s="41"/>
      <c r="N9" s="25"/>
      <c r="O9" s="34"/>
      <c r="P9" s="27"/>
      <c r="Q9" s="12"/>
      <c r="R9" s="12"/>
    </row>
    <row r="10" spans="1:18" ht="19.5" customHeight="1">
      <c r="A10" s="36">
        <f t="shared" si="0"/>
        <v>9</v>
      </c>
      <c r="B10" s="37">
        <v>14</v>
      </c>
      <c r="C10" s="38" t="s">
        <v>49</v>
      </c>
      <c r="D10" s="38" t="s">
        <v>24</v>
      </c>
      <c r="E10" s="38" t="s">
        <v>46</v>
      </c>
      <c r="F10" s="36" t="s">
        <v>20</v>
      </c>
      <c r="G10" s="36" t="s">
        <v>50</v>
      </c>
      <c r="H10" s="38" t="s">
        <v>24</v>
      </c>
      <c r="I10" s="39">
        <v>46233.709027777775</v>
      </c>
      <c r="J10" s="40" t="s">
        <v>57</v>
      </c>
      <c r="K10" s="36"/>
      <c r="L10" s="40"/>
      <c r="M10" s="41"/>
      <c r="N10" s="25"/>
      <c r="O10" s="34"/>
      <c r="P10" s="27"/>
      <c r="Q10" s="12"/>
      <c r="R10" s="12"/>
    </row>
    <row r="11" spans="1:18" ht="19.5" customHeight="1">
      <c r="A11" s="36">
        <f t="shared" si="0"/>
        <v>10</v>
      </c>
      <c r="B11" s="37">
        <v>15</v>
      </c>
      <c r="C11" s="38" t="s">
        <v>58</v>
      </c>
      <c r="D11" s="38" t="s">
        <v>59</v>
      </c>
      <c r="E11" s="38" t="s">
        <v>19</v>
      </c>
      <c r="F11" s="36" t="s">
        <v>20</v>
      </c>
      <c r="G11" s="36" t="s">
        <v>32</v>
      </c>
      <c r="H11" s="38" t="s">
        <v>60</v>
      </c>
      <c r="I11" s="39">
        <v>46233.711111111115</v>
      </c>
      <c r="J11" s="40" t="s">
        <v>61</v>
      </c>
      <c r="K11" s="36"/>
      <c r="L11" s="40"/>
      <c r="M11" s="41"/>
      <c r="N11" s="25"/>
      <c r="O11" s="34"/>
      <c r="P11" s="27"/>
      <c r="Q11" s="12"/>
      <c r="R11" s="12"/>
    </row>
    <row r="12" spans="1:18" ht="19.5" customHeight="1">
      <c r="A12" s="36">
        <f t="shared" si="0"/>
        <v>11</v>
      </c>
      <c r="B12" s="37">
        <v>17</v>
      </c>
      <c r="C12" s="38" t="s">
        <v>53</v>
      </c>
      <c r="D12" s="38" t="s">
        <v>54</v>
      </c>
      <c r="E12" s="38" t="s">
        <v>55</v>
      </c>
      <c r="F12" s="36" t="s">
        <v>20</v>
      </c>
      <c r="G12" s="36" t="s">
        <v>50</v>
      </c>
      <c r="H12" s="38" t="s">
        <v>54</v>
      </c>
      <c r="I12" s="39">
        <v>46233.780555555553</v>
      </c>
      <c r="J12" s="40" t="s">
        <v>62</v>
      </c>
      <c r="K12" s="36"/>
      <c r="L12" s="40"/>
      <c r="M12" s="41"/>
      <c r="N12" s="25"/>
      <c r="O12" s="34"/>
      <c r="P12" s="27"/>
      <c r="Q12" s="12"/>
      <c r="R12" s="12"/>
    </row>
    <row r="13" spans="1:18" s="14" customFormat="1" ht="87.95" customHeight="1">
      <c r="A13" s="36">
        <f t="shared" si="0"/>
        <v>12</v>
      </c>
      <c r="B13" s="37">
        <v>18</v>
      </c>
      <c r="C13" s="38" t="s">
        <v>63</v>
      </c>
      <c r="D13" s="38" t="s">
        <v>64</v>
      </c>
      <c r="E13" s="38" t="s">
        <v>30</v>
      </c>
      <c r="F13" s="36" t="s">
        <v>20</v>
      </c>
      <c r="G13" s="36" t="s">
        <v>65</v>
      </c>
      <c r="H13" s="38" t="s">
        <v>64</v>
      </c>
      <c r="I13" s="39">
        <v>46234.35555555555</v>
      </c>
      <c r="J13" s="40" t="s">
        <v>66</v>
      </c>
      <c r="K13" s="36"/>
      <c r="L13" s="40"/>
      <c r="M13" s="41"/>
      <c r="N13" s="25"/>
      <c r="O13" s="34"/>
      <c r="P13" s="28"/>
      <c r="Q13" s="16"/>
      <c r="R13" s="16"/>
    </row>
    <row r="14" spans="1:18" ht="63.95" customHeight="1">
      <c r="A14" s="36">
        <f t="shared" si="0"/>
        <v>13</v>
      </c>
      <c r="B14" s="37">
        <v>19</v>
      </c>
      <c r="C14" s="38" t="s">
        <v>67</v>
      </c>
      <c r="D14" s="38" t="s">
        <v>68</v>
      </c>
      <c r="E14" s="38" t="s">
        <v>30</v>
      </c>
      <c r="F14" s="36" t="s">
        <v>37</v>
      </c>
      <c r="G14" s="36" t="s">
        <v>32</v>
      </c>
      <c r="H14" s="38" t="s">
        <v>69</v>
      </c>
      <c r="I14" s="39">
        <v>46234.601388888885</v>
      </c>
      <c r="J14" s="40" t="s">
        <v>70</v>
      </c>
      <c r="K14" s="36"/>
      <c r="L14" s="40"/>
      <c r="M14" s="41"/>
      <c r="N14" s="25"/>
      <c r="O14" s="34"/>
      <c r="P14" s="27"/>
      <c r="Q14" s="12"/>
      <c r="R14" s="12"/>
    </row>
    <row r="15" spans="1:18" s="14" customFormat="1" ht="87.95" customHeight="1">
      <c r="A15" s="36">
        <f t="shared" si="0"/>
        <v>14</v>
      </c>
      <c r="B15" s="37">
        <v>20</v>
      </c>
      <c r="C15" s="38" t="s">
        <v>71</v>
      </c>
      <c r="D15" s="38" t="s">
        <v>36</v>
      </c>
      <c r="E15" s="38" t="s">
        <v>46</v>
      </c>
      <c r="F15" s="36" t="s">
        <v>37</v>
      </c>
      <c r="G15" s="36" t="s">
        <v>32</v>
      </c>
      <c r="H15" s="38" t="s">
        <v>59</v>
      </c>
      <c r="I15" s="39">
        <v>46234.655555555553</v>
      </c>
      <c r="J15" s="40" t="s">
        <v>72</v>
      </c>
      <c r="K15" s="36"/>
      <c r="L15" s="40"/>
      <c r="M15" s="41"/>
      <c r="N15" s="25"/>
      <c r="O15" s="34"/>
      <c r="P15" s="29" t="s">
        <v>73</v>
      </c>
      <c r="Q15" s="17" t="s">
        <v>74</v>
      </c>
      <c r="R15" s="17" t="s">
        <v>75</v>
      </c>
    </row>
    <row r="16" spans="1:18" ht="19.5" customHeight="1">
      <c r="A16" s="36">
        <f t="shared" si="0"/>
        <v>15</v>
      </c>
      <c r="B16" s="37">
        <v>21</v>
      </c>
      <c r="C16" s="38" t="s">
        <v>76</v>
      </c>
      <c r="D16" s="38" t="s">
        <v>69</v>
      </c>
      <c r="E16" s="38" t="s">
        <v>77</v>
      </c>
      <c r="F16" s="36" t="s">
        <v>20</v>
      </c>
      <c r="G16" s="36" t="s">
        <v>32</v>
      </c>
      <c r="H16" s="38" t="s">
        <v>69</v>
      </c>
      <c r="I16" s="39">
        <v>46235.773611111115</v>
      </c>
      <c r="J16" s="40" t="s">
        <v>78</v>
      </c>
      <c r="K16" s="36"/>
      <c r="L16" s="40"/>
      <c r="M16" s="41"/>
      <c r="N16" s="25"/>
      <c r="O16" s="34"/>
      <c r="P16" s="27"/>
      <c r="Q16" s="12"/>
      <c r="R16" s="12"/>
    </row>
    <row r="17" spans="1:18" ht="63.95" customHeight="1">
      <c r="A17" s="36">
        <f t="shared" si="0"/>
        <v>16</v>
      </c>
      <c r="B17" s="37">
        <v>22</v>
      </c>
      <c r="C17" s="38" t="s">
        <v>79</v>
      </c>
      <c r="D17" s="38" t="s">
        <v>69</v>
      </c>
      <c r="E17" s="38" t="s">
        <v>80</v>
      </c>
      <c r="F17" s="36" t="s">
        <v>20</v>
      </c>
      <c r="G17" s="36" t="s">
        <v>32</v>
      </c>
      <c r="H17" s="38" t="s">
        <v>64</v>
      </c>
      <c r="I17" s="39">
        <v>46236.534722222219</v>
      </c>
      <c r="J17" s="40" t="s">
        <v>81</v>
      </c>
      <c r="K17" s="36"/>
      <c r="L17" s="40"/>
      <c r="M17" s="41"/>
      <c r="N17" s="25"/>
      <c r="O17" s="34"/>
      <c r="P17" s="27"/>
      <c r="Q17" s="12"/>
      <c r="R17" s="12"/>
    </row>
    <row r="18" spans="1:18" ht="63.95" customHeight="1">
      <c r="A18" s="36">
        <f t="shared" ref="A18:A47" si="1">ROW()-1</f>
        <v>17</v>
      </c>
      <c r="B18" s="37">
        <v>24</v>
      </c>
      <c r="C18" s="38" t="s">
        <v>83</v>
      </c>
      <c r="D18" s="38" t="s">
        <v>84</v>
      </c>
      <c r="E18" s="38" t="s">
        <v>85</v>
      </c>
      <c r="F18" s="36" t="s">
        <v>31</v>
      </c>
      <c r="G18" s="36" t="s">
        <v>50</v>
      </c>
      <c r="H18" s="38" t="s">
        <v>33</v>
      </c>
      <c r="I18" s="39">
        <v>46238.454166666663</v>
      </c>
      <c r="J18" s="40" t="s">
        <v>86</v>
      </c>
      <c r="K18" s="36"/>
      <c r="L18" s="40"/>
      <c r="M18" s="41"/>
      <c r="N18" s="25"/>
      <c r="O18" s="34"/>
      <c r="P18" s="27"/>
      <c r="Q18" s="12"/>
      <c r="R18" s="12"/>
    </row>
    <row r="19" spans="1:18" ht="63.95" customHeight="1">
      <c r="A19" s="36">
        <f t="shared" si="1"/>
        <v>18</v>
      </c>
      <c r="B19" s="37">
        <v>25</v>
      </c>
      <c r="C19" s="38" t="s">
        <v>83</v>
      </c>
      <c r="D19" s="38" t="s">
        <v>84</v>
      </c>
      <c r="E19" s="38" t="s">
        <v>85</v>
      </c>
      <c r="F19" s="36" t="s">
        <v>37</v>
      </c>
      <c r="G19" s="36" t="s">
        <v>50</v>
      </c>
      <c r="H19" s="38" t="s">
        <v>87</v>
      </c>
      <c r="I19" s="39">
        <v>46238.459722222222</v>
      </c>
      <c r="J19" s="40" t="s">
        <v>88</v>
      </c>
      <c r="K19" s="36"/>
      <c r="L19" s="40"/>
      <c r="M19" s="41"/>
      <c r="N19" s="25"/>
      <c r="O19" s="34"/>
      <c r="P19" s="27"/>
      <c r="Q19" s="12"/>
      <c r="R19" s="12"/>
    </row>
    <row r="20" spans="1:18" ht="19.5" customHeight="1">
      <c r="A20" s="36">
        <f t="shared" si="1"/>
        <v>19</v>
      </c>
      <c r="B20" s="37">
        <v>26</v>
      </c>
      <c r="C20" s="38" t="s">
        <v>67</v>
      </c>
      <c r="D20" s="38" t="s">
        <v>69</v>
      </c>
      <c r="E20" s="38" t="s">
        <v>30</v>
      </c>
      <c r="F20" s="36" t="s">
        <v>20</v>
      </c>
      <c r="G20" s="36" t="s">
        <v>38</v>
      </c>
      <c r="H20" s="38" t="s">
        <v>60</v>
      </c>
      <c r="I20" s="39">
        <v>46238.48055555555</v>
      </c>
      <c r="J20" s="40" t="s">
        <v>89</v>
      </c>
      <c r="K20" s="36"/>
      <c r="L20" s="40"/>
      <c r="M20" s="41"/>
      <c r="N20" s="25"/>
      <c r="O20" s="34"/>
      <c r="P20" s="27"/>
      <c r="Q20" s="12"/>
      <c r="R20" s="12"/>
    </row>
    <row r="21" spans="1:18" ht="19.5" customHeight="1">
      <c r="A21" s="36">
        <f t="shared" si="1"/>
        <v>20</v>
      </c>
      <c r="B21" s="37">
        <v>27</v>
      </c>
      <c r="C21" s="38" t="s">
        <v>90</v>
      </c>
      <c r="D21" s="38" t="s">
        <v>91</v>
      </c>
      <c r="E21" s="38" t="s">
        <v>30</v>
      </c>
      <c r="F21" s="36" t="s">
        <v>20</v>
      </c>
      <c r="G21" s="36" t="s">
        <v>65</v>
      </c>
      <c r="H21" s="38" t="s">
        <v>92</v>
      </c>
      <c r="I21" s="39">
        <v>46238.527083333334</v>
      </c>
      <c r="J21" s="40" t="s">
        <v>93</v>
      </c>
      <c r="K21" s="36"/>
      <c r="L21" s="40"/>
      <c r="M21" s="41"/>
      <c r="N21" s="25"/>
      <c r="O21" s="34"/>
      <c r="P21" s="27"/>
      <c r="Q21" s="12"/>
      <c r="R21" s="12"/>
    </row>
    <row r="22" spans="1:18" ht="19.5" customHeight="1">
      <c r="A22" s="36">
        <f t="shared" si="1"/>
        <v>21</v>
      </c>
      <c r="B22" s="37">
        <v>28</v>
      </c>
      <c r="C22" s="38" t="s">
        <v>94</v>
      </c>
      <c r="D22" s="38" t="s">
        <v>82</v>
      </c>
      <c r="E22" s="38" t="s">
        <v>55</v>
      </c>
      <c r="F22" s="36" t="s">
        <v>20</v>
      </c>
      <c r="G22" s="36" t="s">
        <v>50</v>
      </c>
      <c r="H22" s="38" t="s">
        <v>82</v>
      </c>
      <c r="I22" s="39">
        <v>46239.888888888891</v>
      </c>
      <c r="J22" s="40" t="s">
        <v>95</v>
      </c>
      <c r="K22" s="36"/>
      <c r="L22" s="40"/>
      <c r="M22" s="41"/>
      <c r="N22" s="25"/>
      <c r="O22" s="34"/>
      <c r="P22" s="27"/>
      <c r="Q22" s="12"/>
      <c r="R22" s="12"/>
    </row>
    <row r="23" spans="1:18" ht="19.5" customHeight="1">
      <c r="A23" s="36">
        <f t="shared" si="1"/>
        <v>22</v>
      </c>
      <c r="B23" s="37">
        <v>29</v>
      </c>
      <c r="C23" s="38" t="s">
        <v>96</v>
      </c>
      <c r="D23" s="38" t="s">
        <v>82</v>
      </c>
      <c r="E23" s="38" t="s">
        <v>25</v>
      </c>
      <c r="F23" s="36" t="s">
        <v>20</v>
      </c>
      <c r="G23" s="36" t="s">
        <v>65</v>
      </c>
      <c r="H23" s="38" t="s">
        <v>91</v>
      </c>
      <c r="I23" s="39">
        <v>46240.429166666669</v>
      </c>
      <c r="J23" s="40" t="s">
        <v>97</v>
      </c>
      <c r="K23" s="36"/>
      <c r="L23" s="40"/>
      <c r="M23" s="41"/>
      <c r="N23" s="25"/>
      <c r="O23" s="34"/>
      <c r="P23" s="27"/>
      <c r="Q23" s="12"/>
      <c r="R23" s="12"/>
    </row>
    <row r="24" spans="1:18" ht="19.5" customHeight="1">
      <c r="A24" s="36">
        <f t="shared" si="1"/>
        <v>23</v>
      </c>
      <c r="B24" s="37">
        <v>30</v>
      </c>
      <c r="C24" s="38" t="s">
        <v>98</v>
      </c>
      <c r="D24" s="38" t="s">
        <v>82</v>
      </c>
      <c r="E24" s="38" t="s">
        <v>55</v>
      </c>
      <c r="F24" s="36" t="s">
        <v>20</v>
      </c>
      <c r="G24" s="36" t="s">
        <v>50</v>
      </c>
      <c r="H24" s="38" t="s">
        <v>82</v>
      </c>
      <c r="I24" s="39">
        <v>46240.740972222222</v>
      </c>
      <c r="J24" s="40" t="s">
        <v>99</v>
      </c>
      <c r="K24" s="36"/>
      <c r="L24" s="40"/>
      <c r="M24" s="41"/>
      <c r="N24" s="25"/>
      <c r="O24" s="34"/>
      <c r="P24" s="27"/>
      <c r="Q24" s="12"/>
      <c r="R24" s="12"/>
    </row>
    <row r="25" spans="1:18" ht="19.5" customHeight="1">
      <c r="A25" s="36">
        <f t="shared" si="1"/>
        <v>24</v>
      </c>
      <c r="B25" s="37">
        <v>31</v>
      </c>
      <c r="C25" s="38" t="s">
        <v>100</v>
      </c>
      <c r="D25" s="38" t="s">
        <v>24</v>
      </c>
      <c r="E25" s="38" t="s">
        <v>101</v>
      </c>
      <c r="F25" s="36" t="s">
        <v>20</v>
      </c>
      <c r="G25" s="36" t="s">
        <v>32</v>
      </c>
      <c r="H25" s="38" t="s">
        <v>24</v>
      </c>
      <c r="I25" s="39">
        <v>46241.381944444445</v>
      </c>
      <c r="J25" s="40" t="s">
        <v>102</v>
      </c>
      <c r="K25" s="36"/>
      <c r="L25" s="40"/>
      <c r="M25" s="41"/>
      <c r="N25" s="25"/>
      <c r="O25" s="34"/>
      <c r="P25" s="27"/>
      <c r="Q25" s="12"/>
      <c r="R25" s="12"/>
    </row>
    <row r="26" spans="1:18" ht="19.5" customHeight="1">
      <c r="A26" s="36">
        <f t="shared" si="1"/>
        <v>25</v>
      </c>
      <c r="B26" s="37">
        <v>33</v>
      </c>
      <c r="C26" s="38" t="s">
        <v>103</v>
      </c>
      <c r="D26" s="38" t="s">
        <v>59</v>
      </c>
      <c r="E26" s="38" t="s">
        <v>19</v>
      </c>
      <c r="F26" s="36" t="s">
        <v>20</v>
      </c>
      <c r="G26" s="36" t="s">
        <v>65</v>
      </c>
      <c r="H26" s="38" t="s">
        <v>51</v>
      </c>
      <c r="I26" s="39">
        <v>46241.764583333337</v>
      </c>
      <c r="J26" s="40" t="s">
        <v>104</v>
      </c>
      <c r="K26" s="36"/>
      <c r="L26" s="40"/>
      <c r="M26" s="41"/>
      <c r="N26" s="25"/>
      <c r="O26" s="34"/>
      <c r="P26" s="27"/>
      <c r="Q26" s="12"/>
      <c r="R26" s="12"/>
    </row>
    <row r="27" spans="1:18" ht="19.5" customHeight="1">
      <c r="A27" s="36">
        <f t="shared" si="1"/>
        <v>26</v>
      </c>
      <c r="B27" s="37">
        <v>34</v>
      </c>
      <c r="C27" s="38" t="s">
        <v>105</v>
      </c>
      <c r="D27" s="38" t="s">
        <v>39</v>
      </c>
      <c r="E27" s="38" t="s">
        <v>46</v>
      </c>
      <c r="F27" s="36" t="s">
        <v>20</v>
      </c>
      <c r="G27" s="36" t="s">
        <v>106</v>
      </c>
      <c r="H27" s="38" t="s">
        <v>39</v>
      </c>
      <c r="I27" s="39">
        <v>46244.345833333333</v>
      </c>
      <c r="J27" s="40" t="s">
        <v>107</v>
      </c>
      <c r="K27" s="36"/>
      <c r="L27" s="40"/>
      <c r="M27" s="41"/>
      <c r="N27" s="25"/>
      <c r="O27" s="34"/>
      <c r="P27" s="27"/>
      <c r="Q27" s="12"/>
      <c r="R27" s="12"/>
    </row>
    <row r="28" spans="1:18" ht="19.5" customHeight="1">
      <c r="A28" s="36">
        <f t="shared" si="1"/>
        <v>27</v>
      </c>
      <c r="B28" s="37">
        <v>35</v>
      </c>
      <c r="C28" s="38" t="s">
        <v>108</v>
      </c>
      <c r="D28" s="38" t="s">
        <v>109</v>
      </c>
      <c r="E28" s="38" t="s">
        <v>110</v>
      </c>
      <c r="F28" s="36" t="s">
        <v>20</v>
      </c>
      <c r="G28" s="36" t="s">
        <v>106</v>
      </c>
      <c r="H28" s="38" t="s">
        <v>111</v>
      </c>
      <c r="I28" s="39">
        <v>46244.586111111115</v>
      </c>
      <c r="J28" s="40" t="s">
        <v>112</v>
      </c>
      <c r="K28" s="36"/>
      <c r="L28" s="40"/>
      <c r="M28" s="41"/>
      <c r="N28" s="25"/>
      <c r="O28" s="34"/>
      <c r="P28" s="27"/>
      <c r="Q28" s="12"/>
      <c r="R28" s="12"/>
    </row>
    <row r="29" spans="1:18" ht="19.5" customHeight="1">
      <c r="A29" s="36">
        <f t="shared" si="1"/>
        <v>28</v>
      </c>
      <c r="B29" s="37">
        <v>37</v>
      </c>
      <c r="C29" s="38" t="s">
        <v>113</v>
      </c>
      <c r="D29" s="38" t="s">
        <v>51</v>
      </c>
      <c r="E29" s="38" t="s">
        <v>30</v>
      </c>
      <c r="F29" s="36" t="s">
        <v>20</v>
      </c>
      <c r="G29" s="36" t="s">
        <v>65</v>
      </c>
      <c r="H29" s="38" t="s">
        <v>51</v>
      </c>
      <c r="I29" s="39">
        <v>46244.824999999997</v>
      </c>
      <c r="J29" s="40" t="s">
        <v>114</v>
      </c>
      <c r="K29" s="36"/>
      <c r="L29" s="40"/>
      <c r="M29" s="41"/>
      <c r="N29" s="25"/>
      <c r="O29" s="34"/>
      <c r="P29" s="27"/>
      <c r="Q29" s="12"/>
      <c r="R29" s="12"/>
    </row>
    <row r="30" spans="1:18" ht="19.5" customHeight="1">
      <c r="A30" s="36">
        <f t="shared" si="1"/>
        <v>29</v>
      </c>
      <c r="B30" s="37">
        <v>38</v>
      </c>
      <c r="C30" s="38" t="s">
        <v>115</v>
      </c>
      <c r="D30" s="38" t="s">
        <v>87</v>
      </c>
      <c r="E30" s="38" t="s">
        <v>25</v>
      </c>
      <c r="F30" s="36" t="s">
        <v>20</v>
      </c>
      <c r="G30" s="36" t="s">
        <v>106</v>
      </c>
      <c r="H30" s="38" t="s">
        <v>87</v>
      </c>
      <c r="I30" s="39">
        <v>46246.657638888893</v>
      </c>
      <c r="J30" s="40" t="s">
        <v>116</v>
      </c>
      <c r="K30" s="36"/>
      <c r="L30" s="40"/>
      <c r="M30" s="41"/>
      <c r="N30" s="25"/>
      <c r="O30" s="34"/>
      <c r="P30" s="27"/>
      <c r="Q30" s="12"/>
      <c r="R30" s="12"/>
    </row>
    <row r="31" spans="1:18" ht="19.5" customHeight="1">
      <c r="A31" s="36">
        <f t="shared" si="1"/>
        <v>30</v>
      </c>
      <c r="B31" s="37">
        <v>39</v>
      </c>
      <c r="C31" s="38" t="s">
        <v>117</v>
      </c>
      <c r="D31" s="38" t="s">
        <v>91</v>
      </c>
      <c r="E31" s="38" t="s">
        <v>25</v>
      </c>
      <c r="F31" s="36" t="s">
        <v>20</v>
      </c>
      <c r="G31" s="36" t="s">
        <v>21</v>
      </c>
      <c r="H31" s="38" t="s">
        <v>91</v>
      </c>
      <c r="I31" s="39">
        <v>46246.743055555555</v>
      </c>
      <c r="J31" s="40" t="s">
        <v>118</v>
      </c>
      <c r="K31" s="36"/>
      <c r="L31" s="40"/>
      <c r="M31" s="41"/>
      <c r="N31" s="25"/>
      <c r="O31" s="34"/>
      <c r="P31" s="27"/>
      <c r="Q31" s="12"/>
      <c r="R31" s="12"/>
    </row>
    <row r="32" spans="1:18" ht="19.5" customHeight="1">
      <c r="A32" s="36">
        <f t="shared" si="1"/>
        <v>31</v>
      </c>
      <c r="B32" s="37">
        <v>40</v>
      </c>
      <c r="C32" s="38" t="s">
        <v>119</v>
      </c>
      <c r="D32" s="38" t="s">
        <v>59</v>
      </c>
      <c r="E32" s="38" t="s">
        <v>30</v>
      </c>
      <c r="F32" s="36" t="s">
        <v>20</v>
      </c>
      <c r="G32" s="36" t="s">
        <v>21</v>
      </c>
      <c r="H32" s="38" t="s">
        <v>59</v>
      </c>
      <c r="I32" s="39">
        <v>46247.488888888889</v>
      </c>
      <c r="J32" s="40" t="s">
        <v>120</v>
      </c>
      <c r="K32" s="36"/>
      <c r="L32" s="40"/>
      <c r="M32" s="41"/>
      <c r="N32" s="25"/>
      <c r="O32" s="34"/>
      <c r="P32" s="27"/>
      <c r="Q32" s="12"/>
      <c r="R32" s="12"/>
    </row>
    <row r="33" spans="1:18" ht="63.95" customHeight="1">
      <c r="A33" s="36">
        <f t="shared" si="1"/>
        <v>32</v>
      </c>
      <c r="B33" s="37">
        <v>41</v>
      </c>
      <c r="C33" s="38" t="s">
        <v>121</v>
      </c>
      <c r="D33" s="38" t="s">
        <v>122</v>
      </c>
      <c r="E33" s="38" t="s">
        <v>55</v>
      </c>
      <c r="F33" s="36" t="s">
        <v>31</v>
      </c>
      <c r="G33" s="36" t="s">
        <v>32</v>
      </c>
      <c r="H33" s="38" t="s">
        <v>122</v>
      </c>
      <c r="I33" s="39">
        <v>46247.40625</v>
      </c>
      <c r="J33" s="40" t="s">
        <v>123</v>
      </c>
      <c r="K33" s="36"/>
      <c r="L33" s="40"/>
      <c r="M33" s="41"/>
      <c r="N33" s="25"/>
      <c r="O33" s="34"/>
      <c r="P33" s="27"/>
      <c r="Q33" s="12"/>
      <c r="R33" s="12"/>
    </row>
    <row r="34" spans="1:18" ht="19.5" customHeight="1">
      <c r="A34" s="36">
        <f t="shared" si="1"/>
        <v>33</v>
      </c>
      <c r="B34" s="37">
        <v>42</v>
      </c>
      <c r="C34" s="38" t="s">
        <v>117</v>
      </c>
      <c r="D34" s="38" t="s">
        <v>91</v>
      </c>
      <c r="E34" s="38" t="s">
        <v>25</v>
      </c>
      <c r="F34" s="36" t="s">
        <v>31</v>
      </c>
      <c r="G34" s="36" t="s">
        <v>124</v>
      </c>
      <c r="H34" s="38" t="s">
        <v>91</v>
      </c>
      <c r="I34" s="39">
        <v>46247.408333333333</v>
      </c>
      <c r="J34" s="40" t="s">
        <v>125</v>
      </c>
      <c r="K34" s="36"/>
      <c r="L34" s="40"/>
      <c r="M34" s="41"/>
      <c r="N34" s="25"/>
      <c r="O34" s="34"/>
      <c r="P34" s="27"/>
      <c r="Q34" s="12"/>
      <c r="R34" s="12"/>
    </row>
    <row r="35" spans="1:18" ht="87.95" customHeight="1">
      <c r="A35" s="36">
        <f t="shared" si="1"/>
        <v>34</v>
      </c>
      <c r="B35" s="37">
        <v>43</v>
      </c>
      <c r="C35" s="38" t="s">
        <v>117</v>
      </c>
      <c r="D35" s="38" t="s">
        <v>91</v>
      </c>
      <c r="E35" s="38" t="s">
        <v>25</v>
      </c>
      <c r="F35" s="36" t="s">
        <v>31</v>
      </c>
      <c r="G35" s="36" t="s">
        <v>124</v>
      </c>
      <c r="H35" s="38" t="s">
        <v>91</v>
      </c>
      <c r="I35" s="39">
        <v>46247.410416666666</v>
      </c>
      <c r="J35" s="40" t="s">
        <v>126</v>
      </c>
      <c r="K35" s="36"/>
      <c r="L35" s="40"/>
      <c r="M35" s="41"/>
      <c r="N35" s="25"/>
      <c r="O35" s="34"/>
      <c r="P35" s="30" t="s">
        <v>127</v>
      </c>
      <c r="Q35" s="18" t="s">
        <v>128</v>
      </c>
      <c r="R35" s="18" t="s">
        <v>129</v>
      </c>
    </row>
    <row r="36" spans="1:18" ht="19.5" customHeight="1">
      <c r="A36" s="36">
        <f t="shared" si="1"/>
        <v>35</v>
      </c>
      <c r="B36" s="37">
        <v>44</v>
      </c>
      <c r="C36" s="38" t="s">
        <v>130</v>
      </c>
      <c r="D36" s="38" t="s">
        <v>60</v>
      </c>
      <c r="E36" s="38" t="s">
        <v>55</v>
      </c>
      <c r="F36" s="36" t="s">
        <v>20</v>
      </c>
      <c r="G36" s="36" t="s">
        <v>106</v>
      </c>
      <c r="H36" s="38" t="s">
        <v>36</v>
      </c>
      <c r="I36" s="39">
        <v>46247.477777777778</v>
      </c>
      <c r="J36" s="40" t="s">
        <v>131</v>
      </c>
      <c r="K36" s="36"/>
      <c r="L36" s="40"/>
      <c r="M36" s="41"/>
      <c r="N36" s="25"/>
      <c r="O36" s="34"/>
      <c r="P36" s="27"/>
      <c r="Q36" s="12"/>
      <c r="R36" s="12"/>
    </row>
    <row r="37" spans="1:18" ht="19.5" customHeight="1">
      <c r="A37" s="36">
        <f t="shared" si="1"/>
        <v>36</v>
      </c>
      <c r="B37" s="37">
        <v>45</v>
      </c>
      <c r="C37" s="38" t="s">
        <v>130</v>
      </c>
      <c r="D37" s="38" t="s">
        <v>60</v>
      </c>
      <c r="E37" s="38" t="s">
        <v>55</v>
      </c>
      <c r="F37" s="36" t="s">
        <v>20</v>
      </c>
      <c r="G37" s="36" t="s">
        <v>106</v>
      </c>
      <c r="H37" s="38" t="s">
        <v>36</v>
      </c>
      <c r="I37" s="39">
        <v>46247.481249999997</v>
      </c>
      <c r="J37" s="40" t="s">
        <v>132</v>
      </c>
      <c r="K37" s="36"/>
      <c r="L37" s="40"/>
      <c r="M37" s="41"/>
      <c r="N37" s="25"/>
      <c r="O37" s="34"/>
      <c r="P37" s="27"/>
      <c r="Q37" s="12"/>
      <c r="R37" s="12"/>
    </row>
    <row r="38" spans="1:18" ht="19.5" customHeight="1">
      <c r="A38" s="36">
        <f t="shared" si="1"/>
        <v>37</v>
      </c>
      <c r="B38" s="37">
        <v>46</v>
      </c>
      <c r="C38" s="38" t="s">
        <v>133</v>
      </c>
      <c r="D38" s="38" t="s">
        <v>47</v>
      </c>
      <c r="E38" s="38" t="s">
        <v>110</v>
      </c>
      <c r="F38" s="36" t="s">
        <v>20</v>
      </c>
      <c r="G38" s="36" t="s">
        <v>134</v>
      </c>
      <c r="H38" s="38" t="s">
        <v>47</v>
      </c>
      <c r="I38" s="39">
        <v>46247.681944444441</v>
      </c>
      <c r="J38" s="40" t="s">
        <v>135</v>
      </c>
      <c r="K38" s="36"/>
      <c r="L38" s="40"/>
      <c r="M38" s="41"/>
      <c r="N38" s="25"/>
      <c r="O38" s="34"/>
      <c r="P38" s="27"/>
      <c r="Q38" s="12"/>
      <c r="R38" s="12"/>
    </row>
    <row r="39" spans="1:18" ht="19.5" customHeight="1">
      <c r="A39" s="36">
        <f t="shared" si="1"/>
        <v>38</v>
      </c>
      <c r="B39" s="37">
        <v>47</v>
      </c>
      <c r="C39" s="38" t="s">
        <v>136</v>
      </c>
      <c r="D39" s="38" t="s">
        <v>137</v>
      </c>
      <c r="E39" s="38" t="s">
        <v>46</v>
      </c>
      <c r="F39" s="36" t="s">
        <v>20</v>
      </c>
      <c r="G39" s="36" t="s">
        <v>32</v>
      </c>
      <c r="H39" s="38" t="s">
        <v>47</v>
      </c>
      <c r="I39" s="39">
        <v>46283.667361111111</v>
      </c>
      <c r="J39" s="40" t="s">
        <v>138</v>
      </c>
      <c r="K39" s="36"/>
      <c r="L39" s="40"/>
      <c r="M39" s="41"/>
      <c r="N39" s="25"/>
      <c r="O39" s="34"/>
      <c r="P39" s="27"/>
      <c r="Q39" s="12"/>
      <c r="R39" s="12"/>
    </row>
    <row r="40" spans="1:18" ht="19.5" customHeight="1">
      <c r="A40" s="36">
        <f t="shared" si="1"/>
        <v>39</v>
      </c>
      <c r="B40" s="37">
        <v>48</v>
      </c>
      <c r="C40" s="38" t="s">
        <v>139</v>
      </c>
      <c r="D40" s="38" t="s">
        <v>51</v>
      </c>
      <c r="E40" s="38" t="s">
        <v>25</v>
      </c>
      <c r="F40" s="36" t="s">
        <v>20</v>
      </c>
      <c r="G40" s="36" t="s">
        <v>21</v>
      </c>
      <c r="H40" s="38" t="s">
        <v>51</v>
      </c>
      <c r="I40" s="39">
        <v>46248.632638888885</v>
      </c>
      <c r="J40" s="40" t="s">
        <v>140</v>
      </c>
      <c r="K40" s="36"/>
      <c r="L40" s="40"/>
      <c r="M40" s="41"/>
      <c r="N40" s="25"/>
      <c r="O40" s="34"/>
      <c r="P40" s="27"/>
      <c r="Q40" s="12"/>
      <c r="R40" s="12"/>
    </row>
    <row r="41" spans="1:18" ht="19.5" customHeight="1">
      <c r="A41" s="36">
        <f t="shared" si="1"/>
        <v>40</v>
      </c>
      <c r="B41" s="37">
        <v>49</v>
      </c>
      <c r="C41" s="38" t="s">
        <v>141</v>
      </c>
      <c r="D41" s="38" t="s">
        <v>39</v>
      </c>
      <c r="E41" s="38" t="s">
        <v>80</v>
      </c>
      <c r="F41" s="36" t="s">
        <v>20</v>
      </c>
      <c r="G41" s="36" t="s">
        <v>65</v>
      </c>
      <c r="H41" s="38" t="s">
        <v>87</v>
      </c>
      <c r="I41" s="39">
        <v>46248.886111111111</v>
      </c>
      <c r="J41" s="40" t="s">
        <v>142</v>
      </c>
      <c r="K41" s="36"/>
      <c r="L41" s="40"/>
      <c r="M41" s="41"/>
      <c r="N41" s="25"/>
      <c r="O41" s="34"/>
      <c r="P41" s="27"/>
      <c r="Q41" s="12"/>
      <c r="R41" s="12"/>
    </row>
    <row r="42" spans="1:18" ht="19.5" customHeight="1">
      <c r="A42" s="36">
        <f t="shared" si="1"/>
        <v>41</v>
      </c>
      <c r="B42" s="37">
        <v>50</v>
      </c>
      <c r="C42" s="38" t="s">
        <v>143</v>
      </c>
      <c r="D42" s="38" t="s">
        <v>39</v>
      </c>
      <c r="E42" s="38" t="s">
        <v>19</v>
      </c>
      <c r="F42" s="36" t="s">
        <v>20</v>
      </c>
      <c r="G42" s="36" t="s">
        <v>38</v>
      </c>
      <c r="H42" s="38" t="s">
        <v>39</v>
      </c>
      <c r="I42" s="39">
        <v>46252.486805555556</v>
      </c>
      <c r="J42" s="40" t="s">
        <v>144</v>
      </c>
      <c r="K42" s="36"/>
      <c r="L42" s="40"/>
      <c r="M42" s="41"/>
      <c r="N42" s="25"/>
      <c r="O42" s="34"/>
      <c r="P42" s="27"/>
      <c r="Q42" s="12"/>
      <c r="R42" s="12"/>
    </row>
    <row r="43" spans="1:18" ht="19.5" customHeight="1">
      <c r="A43" s="36">
        <f t="shared" si="1"/>
        <v>42</v>
      </c>
      <c r="B43" s="37">
        <v>51</v>
      </c>
      <c r="C43" s="38" t="s">
        <v>143</v>
      </c>
      <c r="D43" s="38" t="s">
        <v>39</v>
      </c>
      <c r="E43" s="38" t="s">
        <v>19</v>
      </c>
      <c r="F43" s="36" t="s">
        <v>20</v>
      </c>
      <c r="G43" s="36" t="s">
        <v>38</v>
      </c>
      <c r="H43" s="38" t="s">
        <v>39</v>
      </c>
      <c r="I43" s="39">
        <v>46252.547222222223</v>
      </c>
      <c r="J43" s="40" t="s">
        <v>145</v>
      </c>
      <c r="K43" s="36"/>
      <c r="L43" s="40"/>
      <c r="M43" s="41"/>
      <c r="N43" s="25"/>
      <c r="O43" s="34"/>
      <c r="P43" s="27"/>
      <c r="Q43" s="12"/>
      <c r="R43" s="12"/>
    </row>
    <row r="44" spans="1:18" s="2" customFormat="1" ht="19.5" customHeight="1">
      <c r="A44" s="36">
        <f t="shared" si="1"/>
        <v>43</v>
      </c>
      <c r="B44" s="37">
        <v>52</v>
      </c>
      <c r="C44" s="38" t="s">
        <v>121</v>
      </c>
      <c r="D44" s="38" t="s">
        <v>122</v>
      </c>
      <c r="E44" s="38" t="s">
        <v>55</v>
      </c>
      <c r="F44" s="36" t="s">
        <v>20</v>
      </c>
      <c r="G44" s="36" t="s">
        <v>146</v>
      </c>
      <c r="H44" s="38" t="s">
        <v>60</v>
      </c>
      <c r="I44" s="39">
        <v>46253.372916666667</v>
      </c>
      <c r="J44" s="40" t="s">
        <v>147</v>
      </c>
      <c r="K44" s="36"/>
      <c r="L44" s="40"/>
      <c r="M44" s="41"/>
      <c r="N44" s="25"/>
      <c r="O44" s="34"/>
      <c r="P44" s="27"/>
      <c r="Q44" s="12"/>
      <c r="R44" s="12"/>
    </row>
    <row r="45" spans="1:18" ht="19.5" customHeight="1">
      <c r="A45" s="36">
        <f t="shared" si="1"/>
        <v>44</v>
      </c>
      <c r="B45" s="37">
        <v>53</v>
      </c>
      <c r="C45" s="38" t="s">
        <v>148</v>
      </c>
      <c r="D45" s="38" t="s">
        <v>122</v>
      </c>
      <c r="E45" s="38" t="s">
        <v>19</v>
      </c>
      <c r="F45" s="36" t="s">
        <v>20</v>
      </c>
      <c r="G45" s="36" t="s">
        <v>149</v>
      </c>
      <c r="H45" s="38" t="s">
        <v>122</v>
      </c>
      <c r="I45" s="39">
        <v>46253.438194444447</v>
      </c>
      <c r="J45" s="40" t="s">
        <v>150</v>
      </c>
      <c r="K45" s="36"/>
      <c r="L45" s="40"/>
      <c r="M45" s="41"/>
      <c r="N45" s="25"/>
      <c r="O45" s="34"/>
      <c r="P45" s="27"/>
      <c r="Q45" s="12"/>
      <c r="R45" s="12"/>
    </row>
    <row r="46" spans="1:18" ht="19.5" customHeight="1">
      <c r="A46" s="36">
        <f t="shared" si="1"/>
        <v>45</v>
      </c>
      <c r="B46" s="37">
        <v>54</v>
      </c>
      <c r="C46" s="38" t="s">
        <v>151</v>
      </c>
      <c r="D46" s="38" t="s">
        <v>60</v>
      </c>
      <c r="E46" s="38" t="s">
        <v>80</v>
      </c>
      <c r="F46" s="36" t="s">
        <v>20</v>
      </c>
      <c r="G46" s="36" t="s">
        <v>65</v>
      </c>
      <c r="H46" s="38" t="s">
        <v>69</v>
      </c>
      <c r="I46" s="39">
        <v>46253.734027777777</v>
      </c>
      <c r="J46" s="40" t="s">
        <v>152</v>
      </c>
      <c r="K46" s="36"/>
      <c r="L46" s="40"/>
      <c r="M46" s="41"/>
      <c r="N46" s="25"/>
      <c r="O46" s="34"/>
      <c r="P46" s="27"/>
      <c r="Q46" s="12"/>
      <c r="R46" s="12"/>
    </row>
    <row r="47" spans="1:18" ht="111.95" customHeight="1">
      <c r="A47" s="36">
        <f t="shared" si="1"/>
        <v>46</v>
      </c>
      <c r="B47" s="37">
        <v>55</v>
      </c>
      <c r="C47" s="38" t="s">
        <v>153</v>
      </c>
      <c r="D47" s="38" t="s">
        <v>54</v>
      </c>
      <c r="E47" s="38" t="s">
        <v>110</v>
      </c>
      <c r="F47" s="36" t="s">
        <v>20</v>
      </c>
      <c r="G47" s="36" t="s">
        <v>65</v>
      </c>
      <c r="H47" s="38" t="s">
        <v>54</v>
      </c>
      <c r="I47" s="39">
        <v>46254.563888888893</v>
      </c>
      <c r="J47" s="40" t="s">
        <v>154</v>
      </c>
      <c r="K47" s="36"/>
      <c r="L47" s="40"/>
      <c r="M47" s="41"/>
      <c r="N47" s="25"/>
      <c r="O47" s="34"/>
      <c r="P47" s="29" t="s">
        <v>73</v>
      </c>
      <c r="Q47" s="17" t="s">
        <v>155</v>
      </c>
      <c r="R47" s="17" t="s">
        <v>156</v>
      </c>
    </row>
    <row r="48" spans="1:18" ht="19.5" customHeight="1">
      <c r="A48" s="36">
        <f t="shared" ref="A48:A77" si="2">ROW()-1</f>
        <v>47</v>
      </c>
      <c r="B48" s="37">
        <v>56</v>
      </c>
      <c r="C48" s="38" t="s">
        <v>157</v>
      </c>
      <c r="D48" s="38" t="s">
        <v>87</v>
      </c>
      <c r="E48" s="38" t="s">
        <v>80</v>
      </c>
      <c r="F48" s="36" t="s">
        <v>20</v>
      </c>
      <c r="G48" s="36" t="s">
        <v>38</v>
      </c>
      <c r="H48" s="38" t="s">
        <v>87</v>
      </c>
      <c r="I48" s="39">
        <v>46255.490277777775</v>
      </c>
      <c r="J48" s="40" t="s">
        <v>158</v>
      </c>
      <c r="K48" s="36"/>
      <c r="L48" s="40"/>
      <c r="M48" s="41"/>
      <c r="N48" s="25"/>
      <c r="O48" s="34"/>
      <c r="P48" s="27"/>
      <c r="Q48" s="12"/>
      <c r="R48" s="12"/>
    </row>
    <row r="49" spans="1:18" ht="19.5" customHeight="1">
      <c r="A49" s="36">
        <f t="shared" si="2"/>
        <v>48</v>
      </c>
      <c r="B49" s="37">
        <v>57</v>
      </c>
      <c r="C49" s="38" t="s">
        <v>159</v>
      </c>
      <c r="D49" s="38" t="s">
        <v>160</v>
      </c>
      <c r="E49" s="38" t="s">
        <v>80</v>
      </c>
      <c r="F49" s="36" t="s">
        <v>20</v>
      </c>
      <c r="G49" s="36" t="s">
        <v>26</v>
      </c>
      <c r="H49" s="38" t="s">
        <v>54</v>
      </c>
      <c r="I49" s="39">
        <v>46255.582638888889</v>
      </c>
      <c r="J49" s="40" t="s">
        <v>161</v>
      </c>
      <c r="K49" s="36"/>
      <c r="L49" s="40"/>
      <c r="M49" s="41"/>
      <c r="N49" s="25"/>
      <c r="O49" s="34"/>
      <c r="P49" s="27"/>
      <c r="Q49" s="12"/>
      <c r="R49" s="12"/>
    </row>
    <row r="50" spans="1:18" ht="87.95" customHeight="1">
      <c r="A50" s="36">
        <f t="shared" si="2"/>
        <v>49</v>
      </c>
      <c r="B50" s="37">
        <v>58</v>
      </c>
      <c r="C50" s="38" t="s">
        <v>162</v>
      </c>
      <c r="D50" s="38" t="s">
        <v>33</v>
      </c>
      <c r="E50" s="38" t="s">
        <v>163</v>
      </c>
      <c r="F50" s="36" t="s">
        <v>20</v>
      </c>
      <c r="G50" s="36" t="s">
        <v>65</v>
      </c>
      <c r="H50" s="38" t="s">
        <v>33</v>
      </c>
      <c r="I50" s="39">
        <v>46255.695833333331</v>
      </c>
      <c r="J50" s="40" t="s">
        <v>164</v>
      </c>
      <c r="K50" s="36"/>
      <c r="L50" s="40"/>
      <c r="M50" s="41"/>
      <c r="N50" s="25"/>
      <c r="O50" s="34"/>
      <c r="P50" s="28"/>
      <c r="Q50" s="16"/>
      <c r="R50" s="16"/>
    </row>
    <row r="51" spans="1:18" ht="19.5" customHeight="1">
      <c r="A51" s="36">
        <f t="shared" si="2"/>
        <v>50</v>
      </c>
      <c r="B51" s="37">
        <v>59</v>
      </c>
      <c r="C51" s="38" t="s">
        <v>165</v>
      </c>
      <c r="D51" s="38" t="s">
        <v>42</v>
      </c>
      <c r="E51" s="38" t="s">
        <v>80</v>
      </c>
      <c r="F51" s="36" t="s">
        <v>20</v>
      </c>
      <c r="G51" s="36" t="s">
        <v>26</v>
      </c>
      <c r="H51" s="38" t="s">
        <v>42</v>
      </c>
      <c r="I51" s="39">
        <v>46255.714583333334</v>
      </c>
      <c r="J51" s="40" t="s">
        <v>166</v>
      </c>
      <c r="K51" s="36"/>
      <c r="L51" s="40"/>
      <c r="M51" s="41"/>
      <c r="N51" s="25"/>
      <c r="O51" s="34"/>
      <c r="P51" s="27"/>
      <c r="Q51" s="12"/>
      <c r="R51" s="12"/>
    </row>
    <row r="52" spans="1:18" ht="19.5" customHeight="1">
      <c r="A52" s="36">
        <f t="shared" si="2"/>
        <v>51</v>
      </c>
      <c r="B52" s="37">
        <v>60</v>
      </c>
      <c r="C52" s="38" t="s">
        <v>167</v>
      </c>
      <c r="D52" s="38" t="s">
        <v>60</v>
      </c>
      <c r="E52" s="38" t="s">
        <v>80</v>
      </c>
      <c r="F52" s="36" t="s">
        <v>20</v>
      </c>
      <c r="G52" s="36" t="s">
        <v>106</v>
      </c>
      <c r="H52" s="38" t="s">
        <v>60</v>
      </c>
      <c r="I52" s="39">
        <v>46257.555555555555</v>
      </c>
      <c r="J52" s="40" t="s">
        <v>168</v>
      </c>
      <c r="K52" s="36"/>
      <c r="L52" s="40"/>
      <c r="M52" s="41"/>
      <c r="N52" s="25"/>
      <c r="O52" s="34"/>
      <c r="P52" s="27"/>
      <c r="Q52" s="12"/>
      <c r="R52" s="12"/>
    </row>
    <row r="53" spans="1:18" ht="19.5" customHeight="1">
      <c r="A53" s="36">
        <f t="shared" si="2"/>
        <v>52</v>
      </c>
      <c r="B53" s="37">
        <v>63</v>
      </c>
      <c r="C53" s="38" t="s">
        <v>171</v>
      </c>
      <c r="D53" s="38" t="s">
        <v>172</v>
      </c>
      <c r="E53" s="38" t="s">
        <v>173</v>
      </c>
      <c r="F53" s="36" t="s">
        <v>20</v>
      </c>
      <c r="G53" s="36" t="s">
        <v>21</v>
      </c>
      <c r="H53" s="38" t="s">
        <v>172</v>
      </c>
      <c r="I53" s="39">
        <v>46258.677777777775</v>
      </c>
      <c r="J53" s="40" t="s">
        <v>174</v>
      </c>
      <c r="K53" s="36"/>
      <c r="L53" s="40"/>
      <c r="M53" s="41"/>
      <c r="N53" s="25"/>
      <c r="O53" s="34"/>
      <c r="P53" s="27"/>
      <c r="Q53" s="12"/>
      <c r="R53" s="12"/>
    </row>
    <row r="54" spans="1:18" ht="19.5" customHeight="1">
      <c r="A54" s="36">
        <f t="shared" si="2"/>
        <v>53</v>
      </c>
      <c r="B54" s="37">
        <v>64</v>
      </c>
      <c r="C54" s="38" t="s">
        <v>175</v>
      </c>
      <c r="D54" s="38" t="s">
        <v>176</v>
      </c>
      <c r="E54" s="38" t="s">
        <v>30</v>
      </c>
      <c r="F54" s="36" t="s">
        <v>20</v>
      </c>
      <c r="G54" s="36" t="s">
        <v>177</v>
      </c>
      <c r="H54" s="38" t="s">
        <v>51</v>
      </c>
      <c r="I54" s="39">
        <v>46258.772916666669</v>
      </c>
      <c r="J54" s="40" t="s">
        <v>178</v>
      </c>
      <c r="K54" s="36"/>
      <c r="L54" s="40"/>
      <c r="M54" s="41"/>
      <c r="N54" s="25"/>
      <c r="O54" s="34"/>
      <c r="P54" s="27"/>
      <c r="Q54" s="12"/>
      <c r="R54" s="12"/>
    </row>
    <row r="55" spans="1:18" s="14" customFormat="1" ht="87.95" customHeight="1">
      <c r="A55" s="36">
        <f t="shared" si="2"/>
        <v>54</v>
      </c>
      <c r="B55" s="37">
        <v>65</v>
      </c>
      <c r="C55" s="38" t="s">
        <v>179</v>
      </c>
      <c r="D55" s="38" t="s">
        <v>91</v>
      </c>
      <c r="E55" s="38" t="s">
        <v>30</v>
      </c>
      <c r="F55" s="36" t="s">
        <v>20</v>
      </c>
      <c r="G55" s="36" t="s">
        <v>65</v>
      </c>
      <c r="H55" s="38" t="s">
        <v>91</v>
      </c>
      <c r="I55" s="39">
        <v>46258.822222222225</v>
      </c>
      <c r="J55" s="42" t="s">
        <v>180</v>
      </c>
      <c r="K55" s="36" t="s">
        <v>181</v>
      </c>
      <c r="L55" s="40" t="s">
        <v>182</v>
      </c>
      <c r="M55" s="41"/>
      <c r="N55" s="25"/>
      <c r="O55" s="34"/>
      <c r="P55" s="29" t="s">
        <v>73</v>
      </c>
      <c r="Q55" s="17" t="s">
        <v>183</v>
      </c>
      <c r="R55" s="17" t="s">
        <v>184</v>
      </c>
    </row>
    <row r="56" spans="1:18" ht="19.5" customHeight="1">
      <c r="A56" s="36">
        <f t="shared" si="2"/>
        <v>55</v>
      </c>
      <c r="B56" s="37">
        <v>66</v>
      </c>
      <c r="C56" s="38" t="s">
        <v>179</v>
      </c>
      <c r="D56" s="38" t="s">
        <v>91</v>
      </c>
      <c r="E56" s="38" t="s">
        <v>30</v>
      </c>
      <c r="F56" s="36" t="s">
        <v>20</v>
      </c>
      <c r="G56" s="36" t="s">
        <v>32</v>
      </c>
      <c r="H56" s="38" t="s">
        <v>91</v>
      </c>
      <c r="I56" s="39">
        <v>46258.848611111112</v>
      </c>
      <c r="J56" s="40" t="s">
        <v>185</v>
      </c>
      <c r="K56" s="36"/>
      <c r="L56" s="40"/>
      <c r="M56" s="41"/>
      <c r="N56" s="25"/>
      <c r="O56" s="34"/>
      <c r="P56" s="27"/>
      <c r="Q56" s="12"/>
      <c r="R56" s="12"/>
    </row>
    <row r="57" spans="1:18" ht="19.5" customHeight="1">
      <c r="A57" s="36">
        <f t="shared" si="2"/>
        <v>56</v>
      </c>
      <c r="B57" s="37">
        <v>67</v>
      </c>
      <c r="C57" s="38" t="s">
        <v>186</v>
      </c>
      <c r="D57" s="38" t="s">
        <v>92</v>
      </c>
      <c r="E57" s="38" t="s">
        <v>30</v>
      </c>
      <c r="F57" s="36" t="s">
        <v>20</v>
      </c>
      <c r="G57" s="36" t="s">
        <v>65</v>
      </c>
      <c r="H57" s="38" t="s">
        <v>92</v>
      </c>
      <c r="I57" s="39">
        <v>46259.470138888893</v>
      </c>
      <c r="J57" s="40" t="s">
        <v>187</v>
      </c>
      <c r="K57" s="36"/>
      <c r="L57" s="40"/>
      <c r="M57" s="41"/>
      <c r="N57" s="25"/>
      <c r="O57" s="34"/>
      <c r="P57" s="27"/>
      <c r="Q57" s="12"/>
      <c r="R57" s="12"/>
    </row>
    <row r="58" spans="1:18" ht="87.95" customHeight="1">
      <c r="A58" s="36">
        <f t="shared" si="2"/>
        <v>57</v>
      </c>
      <c r="B58" s="37">
        <v>68</v>
      </c>
      <c r="C58" s="38" t="s">
        <v>188</v>
      </c>
      <c r="D58" s="38" t="s">
        <v>172</v>
      </c>
      <c r="E58" s="38" t="s">
        <v>189</v>
      </c>
      <c r="F58" s="36" t="s">
        <v>20</v>
      </c>
      <c r="G58" s="36" t="s">
        <v>65</v>
      </c>
      <c r="H58" s="38" t="s">
        <v>172</v>
      </c>
      <c r="I58" s="39">
        <v>46259.620138888888</v>
      </c>
      <c r="J58" s="40" t="s">
        <v>190</v>
      </c>
      <c r="K58" s="36"/>
      <c r="L58" s="40"/>
      <c r="M58" s="41"/>
      <c r="N58" s="25"/>
      <c r="O58" s="34"/>
      <c r="P58" s="30" t="s">
        <v>127</v>
      </c>
      <c r="Q58" s="18" t="s">
        <v>191</v>
      </c>
      <c r="R58" s="18" t="s">
        <v>192</v>
      </c>
    </row>
    <row r="59" spans="1:18" ht="19.5" customHeight="1">
      <c r="A59" s="36">
        <f t="shared" si="2"/>
        <v>58</v>
      </c>
      <c r="B59" s="37">
        <v>69</v>
      </c>
      <c r="C59" s="38" t="s">
        <v>193</v>
      </c>
      <c r="D59" s="38" t="s">
        <v>54</v>
      </c>
      <c r="E59" s="38" t="s">
        <v>110</v>
      </c>
      <c r="F59" s="36" t="s">
        <v>20</v>
      </c>
      <c r="G59" s="36" t="s">
        <v>65</v>
      </c>
      <c r="H59" s="38" t="s">
        <v>92</v>
      </c>
      <c r="I59" s="39">
        <v>46259.634722222225</v>
      </c>
      <c r="J59" s="40" t="s">
        <v>194</v>
      </c>
      <c r="K59" s="36"/>
      <c r="L59" s="40"/>
      <c r="M59" s="41"/>
      <c r="N59" s="25"/>
      <c r="O59" s="34"/>
      <c r="P59" s="27"/>
      <c r="Q59" s="12"/>
      <c r="R59" s="12"/>
    </row>
    <row r="60" spans="1:18" ht="19.5" customHeight="1">
      <c r="A60" s="36">
        <f t="shared" si="2"/>
        <v>59</v>
      </c>
      <c r="B60" s="37">
        <v>71</v>
      </c>
      <c r="C60" s="38" t="s">
        <v>195</v>
      </c>
      <c r="D60" s="38" t="s">
        <v>172</v>
      </c>
      <c r="E60" s="38" t="s">
        <v>196</v>
      </c>
      <c r="F60" s="36" t="s">
        <v>20</v>
      </c>
      <c r="G60" s="36" t="s">
        <v>65</v>
      </c>
      <c r="H60" s="38" t="s">
        <v>172</v>
      </c>
      <c r="I60" s="39">
        <v>46259.658333333333</v>
      </c>
      <c r="J60" s="40" t="s">
        <v>197</v>
      </c>
      <c r="K60" s="36"/>
      <c r="L60" s="40"/>
      <c r="M60" s="41"/>
      <c r="N60" s="25"/>
      <c r="O60" s="34"/>
      <c r="P60" s="27"/>
      <c r="Q60" s="12"/>
      <c r="R60" s="12"/>
    </row>
    <row r="61" spans="1:18" ht="19.5" customHeight="1">
      <c r="A61" s="36">
        <f t="shared" si="2"/>
        <v>60</v>
      </c>
      <c r="B61" s="37">
        <v>72</v>
      </c>
      <c r="C61" s="38" t="s">
        <v>198</v>
      </c>
      <c r="D61" s="38" t="s">
        <v>160</v>
      </c>
      <c r="E61" s="38" t="s">
        <v>80</v>
      </c>
      <c r="F61" s="36" t="s">
        <v>20</v>
      </c>
      <c r="G61" s="36" t="s">
        <v>32</v>
      </c>
      <c r="H61" s="38" t="s">
        <v>59</v>
      </c>
      <c r="I61" s="39">
        <v>46259.658333333333</v>
      </c>
      <c r="J61" s="40" t="s">
        <v>199</v>
      </c>
      <c r="K61" s="36"/>
      <c r="L61" s="40"/>
      <c r="M61" s="41"/>
      <c r="N61" s="25"/>
      <c r="O61" s="34"/>
      <c r="P61" s="27"/>
      <c r="Q61" s="12"/>
      <c r="R61" s="12"/>
    </row>
    <row r="62" spans="1:18" ht="63.95" customHeight="1">
      <c r="A62" s="36">
        <f t="shared" si="2"/>
        <v>61</v>
      </c>
      <c r="B62" s="37">
        <v>73</v>
      </c>
      <c r="C62" s="38" t="s">
        <v>28</v>
      </c>
      <c r="D62" s="38" t="s">
        <v>29</v>
      </c>
      <c r="E62" s="38" t="s">
        <v>30</v>
      </c>
      <c r="F62" s="36" t="s">
        <v>20</v>
      </c>
      <c r="G62" s="36" t="s">
        <v>32</v>
      </c>
      <c r="H62" s="38" t="s">
        <v>33</v>
      </c>
      <c r="I62" s="39">
        <v>46259.662499999999</v>
      </c>
      <c r="J62" s="40" t="s">
        <v>200</v>
      </c>
      <c r="K62" s="36"/>
      <c r="L62" s="40"/>
      <c r="M62" s="41"/>
      <c r="N62" s="25"/>
      <c r="O62" s="34"/>
      <c r="P62" s="27"/>
      <c r="Q62" s="12"/>
      <c r="R62" s="12"/>
    </row>
    <row r="63" spans="1:18" ht="19.5" customHeight="1">
      <c r="A63" s="36">
        <f t="shared" si="2"/>
        <v>62</v>
      </c>
      <c r="B63" s="37">
        <v>74</v>
      </c>
      <c r="C63" s="38" t="s">
        <v>83</v>
      </c>
      <c r="D63" s="38" t="s">
        <v>84</v>
      </c>
      <c r="E63" s="38" t="s">
        <v>85</v>
      </c>
      <c r="F63" s="36" t="s">
        <v>20</v>
      </c>
      <c r="G63" s="36" t="s">
        <v>65</v>
      </c>
      <c r="H63" s="38" t="s">
        <v>51</v>
      </c>
      <c r="I63" s="39">
        <v>46259.744444444441</v>
      </c>
      <c r="J63" s="40" t="s">
        <v>201</v>
      </c>
      <c r="K63" s="36"/>
      <c r="L63" s="40"/>
      <c r="M63" s="41"/>
      <c r="N63" s="25"/>
      <c r="O63" s="34"/>
      <c r="P63" s="27"/>
      <c r="Q63" s="12"/>
      <c r="R63" s="12"/>
    </row>
    <row r="64" spans="1:18" ht="19.5" customHeight="1">
      <c r="A64" s="36">
        <f t="shared" si="2"/>
        <v>63</v>
      </c>
      <c r="B64" s="37">
        <v>75</v>
      </c>
      <c r="C64" s="38" t="s">
        <v>202</v>
      </c>
      <c r="D64" s="38" t="s">
        <v>92</v>
      </c>
      <c r="E64" s="38" t="s">
        <v>203</v>
      </c>
      <c r="F64" s="36" t="s">
        <v>20</v>
      </c>
      <c r="G64" s="36" t="s">
        <v>65</v>
      </c>
      <c r="H64" s="38" t="s">
        <v>51</v>
      </c>
      <c r="I64" s="39">
        <v>46260.391666666663</v>
      </c>
      <c r="J64" s="40" t="s">
        <v>204</v>
      </c>
      <c r="K64" s="36"/>
      <c r="L64" s="40"/>
      <c r="M64" s="41"/>
      <c r="N64" s="25"/>
      <c r="O64" s="34"/>
      <c r="P64" s="27"/>
      <c r="Q64" s="12"/>
      <c r="R64" s="12"/>
    </row>
    <row r="65" spans="1:18" ht="19.5" customHeight="1">
      <c r="A65" s="36">
        <f t="shared" si="2"/>
        <v>64</v>
      </c>
      <c r="B65" s="37">
        <v>76</v>
      </c>
      <c r="C65" s="38" t="s">
        <v>71</v>
      </c>
      <c r="D65" s="38" t="s">
        <v>36</v>
      </c>
      <c r="E65" s="38" t="s">
        <v>46</v>
      </c>
      <c r="F65" s="36" t="s">
        <v>20</v>
      </c>
      <c r="G65" s="36" t="s">
        <v>106</v>
      </c>
      <c r="H65" s="38" t="s">
        <v>36</v>
      </c>
      <c r="I65" s="39">
        <v>46260.397916666669</v>
      </c>
      <c r="J65" s="40" t="s">
        <v>205</v>
      </c>
      <c r="K65" s="36"/>
      <c r="L65" s="40"/>
      <c r="M65" s="41"/>
      <c r="N65" s="25"/>
      <c r="O65" s="34"/>
      <c r="P65" s="27"/>
      <c r="Q65" s="12"/>
      <c r="R65" s="12"/>
    </row>
    <row r="66" spans="1:18" ht="19.5" customHeight="1">
      <c r="A66" s="36">
        <f t="shared" si="2"/>
        <v>65</v>
      </c>
      <c r="B66" s="37">
        <v>77</v>
      </c>
      <c r="C66" s="38" t="s">
        <v>206</v>
      </c>
      <c r="D66" s="38" t="s">
        <v>33</v>
      </c>
      <c r="E66" s="38" t="s">
        <v>163</v>
      </c>
      <c r="F66" s="36" t="s">
        <v>31</v>
      </c>
      <c r="G66" s="36" t="s">
        <v>32</v>
      </c>
      <c r="H66" s="38" t="s">
        <v>33</v>
      </c>
      <c r="I66" s="39">
        <v>46260.433333333334</v>
      </c>
      <c r="J66" s="40" t="s">
        <v>207</v>
      </c>
      <c r="K66" s="36"/>
      <c r="L66" s="40"/>
      <c r="M66" s="41"/>
      <c r="N66" s="25"/>
      <c r="O66" s="34"/>
      <c r="P66" s="27"/>
      <c r="Q66" s="12"/>
      <c r="R66" s="12"/>
    </row>
    <row r="67" spans="1:18" ht="19.5" customHeight="1">
      <c r="A67" s="36">
        <f t="shared" si="2"/>
        <v>66</v>
      </c>
      <c r="B67" s="37">
        <v>78</v>
      </c>
      <c r="C67" s="38" t="s">
        <v>208</v>
      </c>
      <c r="D67" s="38" t="s">
        <v>64</v>
      </c>
      <c r="E67" s="38" t="s">
        <v>101</v>
      </c>
      <c r="F67" s="36" t="s">
        <v>20</v>
      </c>
      <c r="G67" s="36" t="s">
        <v>106</v>
      </c>
      <c r="H67" s="38" t="s">
        <v>51</v>
      </c>
      <c r="I67" s="39">
        <v>46260.448611111111</v>
      </c>
      <c r="J67" s="40" t="s">
        <v>209</v>
      </c>
      <c r="K67" s="36"/>
      <c r="L67" s="40"/>
      <c r="M67" s="41"/>
      <c r="N67" s="25"/>
      <c r="O67" s="34"/>
      <c r="P67" s="27"/>
      <c r="Q67" s="12"/>
      <c r="R67" s="12"/>
    </row>
    <row r="68" spans="1:18" ht="19.5" customHeight="1">
      <c r="A68" s="36">
        <f t="shared" si="2"/>
        <v>67</v>
      </c>
      <c r="B68" s="37">
        <v>79</v>
      </c>
      <c r="C68" s="38" t="s">
        <v>210</v>
      </c>
      <c r="D68" s="38" t="s">
        <v>211</v>
      </c>
      <c r="E68" s="38" t="s">
        <v>80</v>
      </c>
      <c r="F68" s="36" t="s">
        <v>20</v>
      </c>
      <c r="G68" s="36" t="s">
        <v>21</v>
      </c>
      <c r="H68" s="38" t="s">
        <v>69</v>
      </c>
      <c r="I68" s="39">
        <v>46260.566666666666</v>
      </c>
      <c r="J68" s="40" t="s">
        <v>212</v>
      </c>
      <c r="K68" s="36"/>
      <c r="L68" s="40"/>
      <c r="M68" s="41"/>
      <c r="N68" s="25"/>
      <c r="O68" s="34"/>
      <c r="P68" s="27"/>
      <c r="Q68" s="12"/>
      <c r="R68" s="12"/>
    </row>
    <row r="69" spans="1:18" ht="19.5" customHeight="1">
      <c r="A69" s="36">
        <f t="shared" si="2"/>
        <v>68</v>
      </c>
      <c r="B69" s="37">
        <v>80</v>
      </c>
      <c r="C69" s="38" t="s">
        <v>213</v>
      </c>
      <c r="D69" s="38" t="s">
        <v>36</v>
      </c>
      <c r="E69" s="38" t="s">
        <v>214</v>
      </c>
      <c r="F69" s="36" t="s">
        <v>20</v>
      </c>
      <c r="G69" s="36" t="s">
        <v>32</v>
      </c>
      <c r="H69" s="38" t="s">
        <v>36</v>
      </c>
      <c r="I69" s="39">
        <v>46260.570833333331</v>
      </c>
      <c r="J69" s="40" t="s">
        <v>215</v>
      </c>
      <c r="K69" s="36"/>
      <c r="L69" s="40"/>
      <c r="M69" s="41"/>
      <c r="N69" s="25"/>
      <c r="O69" s="34"/>
      <c r="P69" s="27"/>
      <c r="Q69" s="12"/>
      <c r="R69" s="12"/>
    </row>
    <row r="70" spans="1:18" ht="87.95" customHeight="1">
      <c r="A70" s="36">
        <f t="shared" si="2"/>
        <v>69</v>
      </c>
      <c r="B70" s="37">
        <v>81</v>
      </c>
      <c r="C70" s="38" t="s">
        <v>216</v>
      </c>
      <c r="D70" s="38" t="s">
        <v>92</v>
      </c>
      <c r="E70" s="38" t="s">
        <v>217</v>
      </c>
      <c r="F70" s="36" t="s">
        <v>20</v>
      </c>
      <c r="G70" s="36" t="s">
        <v>65</v>
      </c>
      <c r="H70" s="38" t="s">
        <v>47</v>
      </c>
      <c r="I70" s="39">
        <v>46260.581250000003</v>
      </c>
      <c r="J70" s="40" t="s">
        <v>218</v>
      </c>
      <c r="K70" s="36"/>
      <c r="L70" s="40"/>
      <c r="M70" s="41"/>
      <c r="N70" s="25"/>
      <c r="O70" s="34"/>
      <c r="P70" s="30" t="s">
        <v>127</v>
      </c>
      <c r="Q70" s="18" t="s">
        <v>219</v>
      </c>
      <c r="R70" s="18" t="s">
        <v>220</v>
      </c>
    </row>
    <row r="71" spans="1:18" ht="19.5" customHeight="1">
      <c r="A71" s="36">
        <f t="shared" si="2"/>
        <v>70</v>
      </c>
      <c r="B71" s="37">
        <v>82</v>
      </c>
      <c r="C71" s="38" t="s">
        <v>221</v>
      </c>
      <c r="D71" s="38" t="s">
        <v>47</v>
      </c>
      <c r="E71" s="38" t="s">
        <v>196</v>
      </c>
      <c r="F71" s="36" t="s">
        <v>20</v>
      </c>
      <c r="G71" s="36" t="s">
        <v>50</v>
      </c>
      <c r="H71" s="38" t="s">
        <v>47</v>
      </c>
      <c r="I71" s="39">
        <v>46260.736111111109</v>
      </c>
      <c r="J71" s="40" t="s">
        <v>222</v>
      </c>
      <c r="K71" s="36"/>
      <c r="L71" s="40"/>
      <c r="M71" s="41"/>
      <c r="N71" s="25"/>
      <c r="O71" s="34"/>
      <c r="P71" s="27"/>
      <c r="Q71" s="12"/>
      <c r="R71" s="12"/>
    </row>
    <row r="72" spans="1:18" ht="19.5" customHeight="1">
      <c r="A72" s="36">
        <f t="shared" si="2"/>
        <v>71</v>
      </c>
      <c r="B72" s="37">
        <v>83</v>
      </c>
      <c r="C72" s="38" t="s">
        <v>35</v>
      </c>
      <c r="D72" s="38" t="s">
        <v>36</v>
      </c>
      <c r="E72" s="38" t="s">
        <v>19</v>
      </c>
      <c r="F72" s="36" t="s">
        <v>20</v>
      </c>
      <c r="G72" s="36" t="s">
        <v>38</v>
      </c>
      <c r="H72" s="38" t="s">
        <v>36</v>
      </c>
      <c r="I72" s="39">
        <v>46260.747916666667</v>
      </c>
      <c r="J72" s="40" t="s">
        <v>223</v>
      </c>
      <c r="K72" s="36"/>
      <c r="L72" s="40"/>
      <c r="M72" s="41"/>
      <c r="N72" s="25"/>
      <c r="O72" s="34"/>
      <c r="P72" s="27"/>
      <c r="Q72" s="12"/>
      <c r="R72" s="12"/>
    </row>
    <row r="73" spans="1:18" s="14" customFormat="1" ht="111.95" customHeight="1">
      <c r="A73" s="36">
        <f t="shared" si="2"/>
        <v>72</v>
      </c>
      <c r="B73" s="37">
        <v>84</v>
      </c>
      <c r="C73" s="38" t="s">
        <v>224</v>
      </c>
      <c r="D73" s="38" t="s">
        <v>82</v>
      </c>
      <c r="E73" s="38" t="s">
        <v>173</v>
      </c>
      <c r="F73" s="36" t="s">
        <v>20</v>
      </c>
      <c r="G73" s="36" t="s">
        <v>65</v>
      </c>
      <c r="H73" s="38" t="s">
        <v>82</v>
      </c>
      <c r="I73" s="39">
        <v>46260.805555555555</v>
      </c>
      <c r="J73" s="42" t="s">
        <v>225</v>
      </c>
      <c r="K73" s="36" t="s">
        <v>181</v>
      </c>
      <c r="L73" s="40" t="s">
        <v>226</v>
      </c>
      <c r="M73" s="41"/>
      <c r="N73" s="25"/>
      <c r="O73" s="34"/>
      <c r="P73" s="29" t="s">
        <v>73</v>
      </c>
      <c r="Q73" s="17" t="s">
        <v>227</v>
      </c>
      <c r="R73" s="17" t="s">
        <v>228</v>
      </c>
    </row>
    <row r="74" spans="1:18" ht="111.95" customHeight="1">
      <c r="A74" s="36">
        <f t="shared" si="2"/>
        <v>73</v>
      </c>
      <c r="B74" s="37">
        <v>85</v>
      </c>
      <c r="C74" s="38" t="s">
        <v>229</v>
      </c>
      <c r="D74" s="38" t="s">
        <v>33</v>
      </c>
      <c r="E74" s="38" t="s">
        <v>163</v>
      </c>
      <c r="F74" s="36" t="s">
        <v>20</v>
      </c>
      <c r="G74" s="36" t="s">
        <v>65</v>
      </c>
      <c r="H74" s="38" t="s">
        <v>33</v>
      </c>
      <c r="I74" s="39">
        <v>46261.277777777781</v>
      </c>
      <c r="J74" s="40" t="s">
        <v>230</v>
      </c>
      <c r="K74" s="36"/>
      <c r="L74" s="40"/>
      <c r="M74" s="41"/>
      <c r="N74" s="25"/>
      <c r="O74" s="34"/>
      <c r="P74" s="30" t="s">
        <v>127</v>
      </c>
      <c r="Q74" s="18" t="s">
        <v>231</v>
      </c>
      <c r="R74" s="18" t="s">
        <v>232</v>
      </c>
    </row>
    <row r="75" spans="1:18" ht="19.5" customHeight="1">
      <c r="A75" s="36">
        <f t="shared" si="2"/>
        <v>74</v>
      </c>
      <c r="B75" s="37">
        <v>86</v>
      </c>
      <c r="C75" s="38" t="s">
        <v>233</v>
      </c>
      <c r="D75" s="38" t="s">
        <v>92</v>
      </c>
      <c r="E75" s="38" t="s">
        <v>101</v>
      </c>
      <c r="F75" s="36" t="s">
        <v>20</v>
      </c>
      <c r="G75" s="36" t="s">
        <v>65</v>
      </c>
      <c r="H75" s="38" t="s">
        <v>92</v>
      </c>
      <c r="I75" s="39">
        <v>46261.4</v>
      </c>
      <c r="J75" s="40" t="s">
        <v>234</v>
      </c>
      <c r="K75" s="36"/>
      <c r="L75" s="40"/>
      <c r="M75" s="41"/>
      <c r="N75" s="25"/>
      <c r="O75" s="34"/>
      <c r="P75" s="27"/>
      <c r="Q75" s="12"/>
      <c r="R75" s="12"/>
    </row>
    <row r="76" spans="1:18" ht="19.5" customHeight="1">
      <c r="A76" s="36">
        <f t="shared" si="2"/>
        <v>75</v>
      </c>
      <c r="B76" s="37">
        <v>88</v>
      </c>
      <c r="C76" s="38" t="s">
        <v>235</v>
      </c>
      <c r="D76" s="38" t="s">
        <v>64</v>
      </c>
      <c r="E76" s="38" t="s">
        <v>236</v>
      </c>
      <c r="F76" s="36" t="s">
        <v>20</v>
      </c>
      <c r="G76" s="36" t="s">
        <v>38</v>
      </c>
      <c r="H76" s="38" t="s">
        <v>64</v>
      </c>
      <c r="I76" s="39">
        <v>46261.483333333337</v>
      </c>
      <c r="J76" s="40" t="s">
        <v>237</v>
      </c>
      <c r="K76" s="36"/>
      <c r="L76" s="40"/>
      <c r="M76" s="41"/>
      <c r="N76" s="25"/>
      <c r="O76" s="34"/>
      <c r="P76" s="27"/>
      <c r="Q76" s="12"/>
      <c r="R76" s="12"/>
    </row>
    <row r="77" spans="1:18" ht="19.5" customHeight="1">
      <c r="A77" s="36">
        <f t="shared" si="2"/>
        <v>76</v>
      </c>
      <c r="B77" s="37">
        <v>89</v>
      </c>
      <c r="C77" s="38" t="s">
        <v>221</v>
      </c>
      <c r="D77" s="38" t="s">
        <v>47</v>
      </c>
      <c r="E77" s="38" t="s">
        <v>196</v>
      </c>
      <c r="F77" s="36" t="s">
        <v>20</v>
      </c>
      <c r="G77" s="36" t="s">
        <v>21</v>
      </c>
      <c r="H77" s="38" t="s">
        <v>47</v>
      </c>
      <c r="I77" s="39">
        <v>46261.552777777775</v>
      </c>
      <c r="J77" s="40" t="s">
        <v>238</v>
      </c>
      <c r="K77" s="36"/>
      <c r="L77" s="40"/>
      <c r="M77" s="41"/>
      <c r="N77" s="25"/>
      <c r="O77" s="34"/>
      <c r="P77" s="27"/>
      <c r="Q77" s="12"/>
      <c r="R77" s="12"/>
    </row>
    <row r="78" spans="1:18" ht="19.5" customHeight="1">
      <c r="A78" s="36">
        <f t="shared" ref="A78:A108" si="3">ROW()-1</f>
        <v>77</v>
      </c>
      <c r="B78" s="37">
        <v>90</v>
      </c>
      <c r="C78" s="38" t="s">
        <v>239</v>
      </c>
      <c r="D78" s="38" t="s">
        <v>47</v>
      </c>
      <c r="E78" s="38" t="s">
        <v>240</v>
      </c>
      <c r="F78" s="36" t="s">
        <v>20</v>
      </c>
      <c r="G78" s="36" t="s">
        <v>32</v>
      </c>
      <c r="H78" s="38" t="s">
        <v>47</v>
      </c>
      <c r="I78" s="39">
        <v>46261.606944444444</v>
      </c>
      <c r="J78" s="40" t="s">
        <v>241</v>
      </c>
      <c r="K78" s="36"/>
      <c r="L78" s="40"/>
      <c r="M78" s="41"/>
      <c r="N78" s="25"/>
      <c r="O78" s="34"/>
      <c r="P78" s="27"/>
      <c r="Q78" s="12"/>
      <c r="R78" s="12"/>
    </row>
    <row r="79" spans="1:18" s="14" customFormat="1" ht="87.95" customHeight="1">
      <c r="A79" s="36">
        <f t="shared" si="3"/>
        <v>78</v>
      </c>
      <c r="B79" s="37">
        <v>91</v>
      </c>
      <c r="C79" s="38" t="s">
        <v>169</v>
      </c>
      <c r="D79" s="38" t="s">
        <v>82</v>
      </c>
      <c r="E79" s="38" t="s">
        <v>170</v>
      </c>
      <c r="F79" s="36" t="s">
        <v>20</v>
      </c>
      <c r="G79" s="36" t="s">
        <v>65</v>
      </c>
      <c r="H79" s="38" t="s">
        <v>91</v>
      </c>
      <c r="I79" s="39">
        <v>46261.643055555556</v>
      </c>
      <c r="J79" s="40" t="s">
        <v>242</v>
      </c>
      <c r="K79" s="36"/>
      <c r="L79" s="40"/>
      <c r="M79" s="41"/>
      <c r="N79" s="25"/>
      <c r="O79" s="34"/>
      <c r="P79" s="28"/>
      <c r="Q79" s="16"/>
      <c r="R79" s="16"/>
    </row>
    <row r="80" spans="1:18" ht="19.5" customHeight="1">
      <c r="A80" s="36">
        <f t="shared" si="3"/>
        <v>79</v>
      </c>
      <c r="B80" s="37">
        <v>92</v>
      </c>
      <c r="C80" s="38" t="s">
        <v>243</v>
      </c>
      <c r="D80" s="38" t="s">
        <v>54</v>
      </c>
      <c r="E80" s="38" t="s">
        <v>55</v>
      </c>
      <c r="F80" s="36" t="s">
        <v>20</v>
      </c>
      <c r="G80" s="36" t="s">
        <v>32</v>
      </c>
      <c r="H80" s="38" t="s">
        <v>54</v>
      </c>
      <c r="I80" s="39">
        <v>46261.659722222219</v>
      </c>
      <c r="J80" s="40" t="s">
        <v>244</v>
      </c>
      <c r="K80" s="36"/>
      <c r="L80" s="40"/>
      <c r="M80" s="41"/>
      <c r="N80" s="25"/>
      <c r="O80" s="34"/>
      <c r="P80" s="27"/>
      <c r="Q80" s="12"/>
      <c r="R80" s="12"/>
    </row>
    <row r="81" spans="1:18" ht="19.5" customHeight="1">
      <c r="A81" s="36">
        <f t="shared" si="3"/>
        <v>80</v>
      </c>
      <c r="B81" s="37">
        <v>93</v>
      </c>
      <c r="C81" s="38" t="s">
        <v>108</v>
      </c>
      <c r="D81" s="38" t="s">
        <v>109</v>
      </c>
      <c r="E81" s="38" t="s">
        <v>110</v>
      </c>
      <c r="F81" s="36" t="s">
        <v>20</v>
      </c>
      <c r="G81" s="36" t="s">
        <v>65</v>
      </c>
      <c r="H81" s="38" t="s">
        <v>111</v>
      </c>
      <c r="I81" s="39">
        <v>46262.406944444447</v>
      </c>
      <c r="J81" s="40" t="s">
        <v>245</v>
      </c>
      <c r="K81" s="36"/>
      <c r="L81" s="40"/>
      <c r="M81" s="41"/>
      <c r="N81" s="25"/>
      <c r="O81" s="34"/>
      <c r="P81" s="27"/>
      <c r="Q81" s="12"/>
      <c r="R81" s="12"/>
    </row>
    <row r="82" spans="1:18" ht="19.5" customHeight="1">
      <c r="A82" s="36">
        <f t="shared" si="3"/>
        <v>81</v>
      </c>
      <c r="B82" s="37">
        <v>94</v>
      </c>
      <c r="C82" s="38" t="s">
        <v>108</v>
      </c>
      <c r="D82" s="38" t="s">
        <v>109</v>
      </c>
      <c r="E82" s="38" t="s">
        <v>110</v>
      </c>
      <c r="F82" s="36" t="s">
        <v>20</v>
      </c>
      <c r="G82" s="36" t="s">
        <v>26</v>
      </c>
      <c r="H82" s="38" t="s">
        <v>111</v>
      </c>
      <c r="I82" s="39">
        <v>46262.426388888889</v>
      </c>
      <c r="J82" s="40" t="s">
        <v>246</v>
      </c>
      <c r="K82" s="36"/>
      <c r="L82" s="40"/>
      <c r="M82" s="41"/>
      <c r="N82" s="25"/>
      <c r="O82" s="34"/>
      <c r="P82" s="27"/>
      <c r="Q82" s="12"/>
      <c r="R82" s="12"/>
    </row>
    <row r="83" spans="1:18" ht="19.5" customHeight="1">
      <c r="A83" s="36">
        <f t="shared" si="3"/>
        <v>82</v>
      </c>
      <c r="B83" s="37">
        <v>95</v>
      </c>
      <c r="C83" s="38" t="s">
        <v>247</v>
      </c>
      <c r="D83" s="38" t="s">
        <v>109</v>
      </c>
      <c r="E83" s="38" t="s">
        <v>55</v>
      </c>
      <c r="F83" s="36" t="s">
        <v>20</v>
      </c>
      <c r="G83" s="36" t="s">
        <v>50</v>
      </c>
      <c r="H83" s="38" t="s">
        <v>111</v>
      </c>
      <c r="I83" s="39">
        <v>46262.426388888889</v>
      </c>
      <c r="J83" s="40" t="s">
        <v>248</v>
      </c>
      <c r="K83" s="36"/>
      <c r="L83" s="40"/>
      <c r="M83" s="41"/>
      <c r="N83" s="25"/>
      <c r="O83" s="34"/>
      <c r="P83" s="27"/>
      <c r="Q83" s="12"/>
      <c r="R83" s="12"/>
    </row>
    <row r="84" spans="1:18" ht="19.5" customHeight="1">
      <c r="A84" s="36">
        <f t="shared" si="3"/>
        <v>83</v>
      </c>
      <c r="B84" s="37">
        <v>96</v>
      </c>
      <c r="C84" s="38" t="s">
        <v>108</v>
      </c>
      <c r="D84" s="38" t="s">
        <v>109</v>
      </c>
      <c r="E84" s="38" t="s">
        <v>110</v>
      </c>
      <c r="F84" s="36" t="s">
        <v>20</v>
      </c>
      <c r="G84" s="36" t="s">
        <v>65</v>
      </c>
      <c r="H84" s="38" t="s">
        <v>111</v>
      </c>
      <c r="I84" s="39">
        <v>46262.617361111115</v>
      </c>
      <c r="J84" s="40" t="s">
        <v>249</v>
      </c>
      <c r="K84" s="36"/>
      <c r="L84" s="40"/>
      <c r="M84" s="41"/>
      <c r="N84" s="25"/>
      <c r="O84" s="34"/>
      <c r="P84" s="27"/>
      <c r="Q84" s="12"/>
      <c r="R84" s="12"/>
    </row>
    <row r="85" spans="1:18" ht="19.5" customHeight="1">
      <c r="A85" s="36">
        <f t="shared" si="3"/>
        <v>84</v>
      </c>
      <c r="B85" s="37">
        <v>97</v>
      </c>
      <c r="C85" s="38" t="s">
        <v>250</v>
      </c>
      <c r="D85" s="38" t="s">
        <v>36</v>
      </c>
      <c r="E85" s="38" t="s">
        <v>80</v>
      </c>
      <c r="F85" s="36" t="s">
        <v>20</v>
      </c>
      <c r="G85" s="36" t="s">
        <v>65</v>
      </c>
      <c r="H85" s="38" t="s">
        <v>92</v>
      </c>
      <c r="I85" s="39">
        <v>46262.670833333337</v>
      </c>
      <c r="J85" s="40" t="s">
        <v>251</v>
      </c>
      <c r="K85" s="36"/>
      <c r="L85" s="40"/>
      <c r="M85" s="41"/>
      <c r="N85" s="25"/>
      <c r="O85" s="34"/>
      <c r="P85" s="27"/>
      <c r="Q85" s="12"/>
      <c r="R85" s="12"/>
    </row>
    <row r="86" spans="1:18" ht="19.5" customHeight="1">
      <c r="A86" s="36">
        <f t="shared" si="3"/>
        <v>85</v>
      </c>
      <c r="B86" s="37">
        <v>98</v>
      </c>
      <c r="C86" s="38" t="s">
        <v>252</v>
      </c>
      <c r="D86" s="38" t="s">
        <v>18</v>
      </c>
      <c r="E86" s="38" t="s">
        <v>80</v>
      </c>
      <c r="F86" s="36" t="s">
        <v>20</v>
      </c>
      <c r="G86" s="36" t="s">
        <v>38</v>
      </c>
      <c r="H86" s="38" t="s">
        <v>18</v>
      </c>
      <c r="I86" s="39">
        <v>46262.720138888893</v>
      </c>
      <c r="J86" s="40" t="s">
        <v>253</v>
      </c>
      <c r="K86" s="36"/>
      <c r="L86" s="40"/>
      <c r="M86" s="41"/>
      <c r="N86" s="25"/>
      <c r="O86" s="34"/>
      <c r="P86" s="27"/>
      <c r="Q86" s="12"/>
      <c r="R86" s="12"/>
    </row>
    <row r="87" spans="1:18" ht="19.5" customHeight="1">
      <c r="A87" s="36">
        <f t="shared" si="3"/>
        <v>86</v>
      </c>
      <c r="B87" s="37">
        <v>99</v>
      </c>
      <c r="C87" s="38" t="s">
        <v>254</v>
      </c>
      <c r="D87" s="38" t="s">
        <v>60</v>
      </c>
      <c r="E87" s="38" t="s">
        <v>80</v>
      </c>
      <c r="F87" s="36" t="s">
        <v>20</v>
      </c>
      <c r="G87" s="36" t="s">
        <v>106</v>
      </c>
      <c r="H87" s="38" t="s">
        <v>60</v>
      </c>
      <c r="I87" s="39">
        <v>46262.792361111111</v>
      </c>
      <c r="J87" s="40" t="s">
        <v>255</v>
      </c>
      <c r="K87" s="36"/>
      <c r="L87" s="40"/>
      <c r="M87" s="41"/>
      <c r="N87" s="25"/>
      <c r="O87" s="34"/>
      <c r="P87" s="27"/>
      <c r="Q87" s="12"/>
      <c r="R87" s="12"/>
    </row>
    <row r="88" spans="1:18" ht="19.5" customHeight="1">
      <c r="A88" s="36">
        <f t="shared" si="3"/>
        <v>87</v>
      </c>
      <c r="B88" s="37">
        <v>101</v>
      </c>
      <c r="C88" s="38" t="s">
        <v>257</v>
      </c>
      <c r="D88" s="38" t="s">
        <v>258</v>
      </c>
      <c r="E88" s="38" t="s">
        <v>30</v>
      </c>
      <c r="F88" s="36" t="s">
        <v>20</v>
      </c>
      <c r="G88" s="36" t="s">
        <v>32</v>
      </c>
      <c r="H88" s="38" t="s">
        <v>259</v>
      </c>
      <c r="I88" s="39">
        <v>46265.409722222219</v>
      </c>
      <c r="J88" s="40" t="s">
        <v>260</v>
      </c>
      <c r="K88" s="36"/>
      <c r="L88" s="40"/>
      <c r="M88" s="41"/>
      <c r="N88" s="25"/>
      <c r="O88" s="34"/>
      <c r="P88" s="27"/>
      <c r="Q88" s="12"/>
      <c r="R88" s="12"/>
    </row>
    <row r="89" spans="1:18" ht="19.5" customHeight="1">
      <c r="A89" s="36">
        <f t="shared" si="3"/>
        <v>88</v>
      </c>
      <c r="B89" s="37">
        <v>102</v>
      </c>
      <c r="C89" s="38" t="s">
        <v>257</v>
      </c>
      <c r="D89" s="38" t="s">
        <v>258</v>
      </c>
      <c r="E89" s="38" t="s">
        <v>30</v>
      </c>
      <c r="F89" s="36" t="s">
        <v>20</v>
      </c>
      <c r="G89" s="36" t="s">
        <v>32</v>
      </c>
      <c r="H89" s="38" t="s">
        <v>259</v>
      </c>
      <c r="I89" s="39">
        <v>46265.410416666666</v>
      </c>
      <c r="J89" s="40" t="s">
        <v>261</v>
      </c>
      <c r="K89" s="36"/>
      <c r="L89" s="40"/>
      <c r="M89" s="41"/>
      <c r="N89" s="25"/>
      <c r="O89" s="34"/>
      <c r="P89" s="27"/>
      <c r="Q89" s="12"/>
      <c r="R89" s="12"/>
    </row>
    <row r="90" spans="1:18" ht="19.5" customHeight="1">
      <c r="A90" s="36">
        <f t="shared" si="3"/>
        <v>89</v>
      </c>
      <c r="B90" s="37">
        <v>103</v>
      </c>
      <c r="C90" s="38" t="s">
        <v>262</v>
      </c>
      <c r="D90" s="38" t="s">
        <v>258</v>
      </c>
      <c r="E90" s="38" t="s">
        <v>30</v>
      </c>
      <c r="F90" s="36" t="s">
        <v>20</v>
      </c>
      <c r="G90" s="36" t="s">
        <v>50</v>
      </c>
      <c r="H90" s="38" t="s">
        <v>259</v>
      </c>
      <c r="I90" s="39">
        <v>46265.413888888885</v>
      </c>
      <c r="J90" s="40" t="s">
        <v>263</v>
      </c>
      <c r="K90" s="36"/>
      <c r="L90" s="40"/>
      <c r="M90" s="41"/>
      <c r="N90" s="25"/>
      <c r="O90" s="34"/>
      <c r="P90" s="27"/>
      <c r="Q90" s="12"/>
      <c r="R90" s="12"/>
    </row>
    <row r="91" spans="1:18" ht="19.5" customHeight="1">
      <c r="A91" s="36">
        <f t="shared" si="3"/>
        <v>90</v>
      </c>
      <c r="B91" s="37">
        <v>104</v>
      </c>
      <c r="C91" s="38" t="s">
        <v>264</v>
      </c>
      <c r="D91" s="38" t="s">
        <v>265</v>
      </c>
      <c r="E91" s="38" t="s">
        <v>203</v>
      </c>
      <c r="F91" s="36" t="s">
        <v>20</v>
      </c>
      <c r="G91" s="36" t="s">
        <v>106</v>
      </c>
      <c r="H91" s="38" t="s">
        <v>64</v>
      </c>
      <c r="I91" s="39">
        <v>46265.415972222225</v>
      </c>
      <c r="J91" s="40" t="s">
        <v>266</v>
      </c>
      <c r="K91" s="36"/>
      <c r="L91" s="40"/>
      <c r="M91" s="41"/>
      <c r="N91" s="25"/>
      <c r="O91" s="34"/>
      <c r="P91" s="27"/>
      <c r="Q91" s="12"/>
      <c r="R91" s="12"/>
    </row>
    <row r="92" spans="1:18" ht="19.5" customHeight="1">
      <c r="A92" s="36">
        <f t="shared" si="3"/>
        <v>91</v>
      </c>
      <c r="B92" s="37">
        <v>105</v>
      </c>
      <c r="C92" s="38" t="s">
        <v>267</v>
      </c>
      <c r="D92" s="38" t="s">
        <v>54</v>
      </c>
      <c r="E92" s="38" t="s">
        <v>268</v>
      </c>
      <c r="F92" s="36" t="s">
        <v>20</v>
      </c>
      <c r="G92" s="36" t="s">
        <v>38</v>
      </c>
      <c r="H92" s="38" t="s">
        <v>69</v>
      </c>
      <c r="I92" s="39">
        <v>46265.44027777778</v>
      </c>
      <c r="J92" s="40" t="s">
        <v>269</v>
      </c>
      <c r="K92" s="36"/>
      <c r="L92" s="40"/>
      <c r="M92" s="41"/>
      <c r="N92" s="25"/>
      <c r="O92" s="34"/>
      <c r="P92" s="27"/>
      <c r="Q92" s="12"/>
      <c r="R92" s="12"/>
    </row>
    <row r="93" spans="1:18" ht="111.95" customHeight="1">
      <c r="A93" s="36">
        <f t="shared" si="3"/>
        <v>92</v>
      </c>
      <c r="B93" s="37">
        <v>106</v>
      </c>
      <c r="C93" s="38" t="s">
        <v>270</v>
      </c>
      <c r="D93" s="38" t="s">
        <v>160</v>
      </c>
      <c r="E93" s="38" t="s">
        <v>80</v>
      </c>
      <c r="F93" s="36" t="s">
        <v>20</v>
      </c>
      <c r="G93" s="36" t="s">
        <v>32</v>
      </c>
      <c r="H93" s="38" t="s">
        <v>64</v>
      </c>
      <c r="I93" s="39">
        <v>46265.454861111109</v>
      </c>
      <c r="J93" s="40" t="s">
        <v>271</v>
      </c>
      <c r="K93" s="36"/>
      <c r="L93" s="40"/>
      <c r="M93" s="41"/>
      <c r="N93" s="25"/>
      <c r="O93" s="34"/>
      <c r="P93" s="28"/>
      <c r="Q93" s="16"/>
      <c r="R93" s="16"/>
    </row>
    <row r="94" spans="1:18" ht="19.5" customHeight="1">
      <c r="A94" s="36">
        <f t="shared" si="3"/>
        <v>93</v>
      </c>
      <c r="B94" s="37">
        <v>107</v>
      </c>
      <c r="C94" s="38" t="s">
        <v>272</v>
      </c>
      <c r="D94" s="38" t="s">
        <v>160</v>
      </c>
      <c r="E94" s="38" t="s">
        <v>80</v>
      </c>
      <c r="F94" s="36" t="s">
        <v>20</v>
      </c>
      <c r="G94" s="36" t="s">
        <v>26</v>
      </c>
      <c r="H94" s="38" t="s">
        <v>273</v>
      </c>
      <c r="I94" s="39">
        <v>46265.463888888888</v>
      </c>
      <c r="J94" s="40" t="s">
        <v>274</v>
      </c>
      <c r="K94" s="36"/>
      <c r="L94" s="40"/>
      <c r="M94" s="41"/>
      <c r="N94" s="25"/>
      <c r="O94" s="34"/>
      <c r="P94" s="27"/>
      <c r="Q94" s="12"/>
      <c r="R94" s="12"/>
    </row>
    <row r="95" spans="1:18" ht="19.5" customHeight="1">
      <c r="A95" s="36">
        <f t="shared" si="3"/>
        <v>94</v>
      </c>
      <c r="B95" s="37">
        <v>108</v>
      </c>
      <c r="C95" s="38" t="s">
        <v>275</v>
      </c>
      <c r="D95" s="38" t="s">
        <v>18</v>
      </c>
      <c r="E95" s="38" t="s">
        <v>80</v>
      </c>
      <c r="F95" s="36" t="s">
        <v>20</v>
      </c>
      <c r="G95" s="36" t="s">
        <v>26</v>
      </c>
      <c r="H95" s="38" t="s">
        <v>18</v>
      </c>
      <c r="I95" s="39">
        <v>46265.468055555553</v>
      </c>
      <c r="J95" s="40" t="s">
        <v>276</v>
      </c>
      <c r="K95" s="36"/>
      <c r="L95" s="40"/>
      <c r="M95" s="41"/>
      <c r="N95" s="25"/>
      <c r="O95" s="34"/>
      <c r="P95" s="27"/>
      <c r="Q95" s="12"/>
      <c r="R95" s="12"/>
    </row>
    <row r="96" spans="1:18" ht="19.5" customHeight="1">
      <c r="A96" s="36">
        <f t="shared" si="3"/>
        <v>95</v>
      </c>
      <c r="B96" s="37">
        <v>109</v>
      </c>
      <c r="C96" s="38" t="s">
        <v>277</v>
      </c>
      <c r="D96" s="38" t="s">
        <v>42</v>
      </c>
      <c r="E96" s="38" t="s">
        <v>46</v>
      </c>
      <c r="F96" s="36" t="s">
        <v>20</v>
      </c>
      <c r="G96" s="36" t="s">
        <v>106</v>
      </c>
      <c r="H96" s="38" t="s">
        <v>42</v>
      </c>
      <c r="I96" s="39">
        <v>46265.470833333333</v>
      </c>
      <c r="J96" s="40" t="s">
        <v>278</v>
      </c>
      <c r="K96" s="36"/>
      <c r="L96" s="40"/>
      <c r="M96" s="41"/>
      <c r="N96" s="25"/>
      <c r="O96" s="34"/>
      <c r="P96" s="27"/>
      <c r="Q96" s="12"/>
      <c r="R96" s="12"/>
    </row>
    <row r="97" spans="1:18" ht="87.95" customHeight="1">
      <c r="A97" s="36">
        <f t="shared" si="3"/>
        <v>96</v>
      </c>
      <c r="B97" s="37">
        <v>110</v>
      </c>
      <c r="C97" s="38" t="s">
        <v>279</v>
      </c>
      <c r="D97" s="38" t="s">
        <v>109</v>
      </c>
      <c r="E97" s="38" t="s">
        <v>110</v>
      </c>
      <c r="F97" s="36" t="s">
        <v>20</v>
      </c>
      <c r="G97" s="36" t="s">
        <v>32</v>
      </c>
      <c r="H97" s="38" t="s">
        <v>111</v>
      </c>
      <c r="I97" s="39">
        <v>46265.564583333333</v>
      </c>
      <c r="J97" s="40" t="s">
        <v>280</v>
      </c>
      <c r="K97" s="36"/>
      <c r="L97" s="40"/>
      <c r="M97" s="41"/>
      <c r="N97" s="25"/>
      <c r="O97" s="34"/>
      <c r="P97" s="30" t="s">
        <v>127</v>
      </c>
      <c r="Q97" s="18" t="s">
        <v>281</v>
      </c>
      <c r="R97" s="18" t="s">
        <v>282</v>
      </c>
    </row>
    <row r="98" spans="1:18" ht="19.5" customHeight="1">
      <c r="A98" s="36">
        <f t="shared" si="3"/>
        <v>97</v>
      </c>
      <c r="B98" s="37">
        <v>111</v>
      </c>
      <c r="C98" s="38" t="s">
        <v>283</v>
      </c>
      <c r="D98" s="38" t="s">
        <v>284</v>
      </c>
      <c r="E98" s="38" t="s">
        <v>101</v>
      </c>
      <c r="F98" s="36" t="s">
        <v>20</v>
      </c>
      <c r="G98" s="36" t="s">
        <v>285</v>
      </c>
      <c r="H98" s="38" t="s">
        <v>51</v>
      </c>
      <c r="I98" s="39">
        <v>46265.57430555555</v>
      </c>
      <c r="J98" s="40" t="s">
        <v>286</v>
      </c>
      <c r="K98" s="36"/>
      <c r="L98" s="40"/>
      <c r="M98" s="41"/>
      <c r="N98" s="25"/>
      <c r="O98" s="34"/>
      <c r="P98" s="27"/>
      <c r="Q98" s="12"/>
      <c r="R98" s="12"/>
    </row>
    <row r="99" spans="1:18" ht="19.5" customHeight="1">
      <c r="A99" s="36">
        <f t="shared" si="3"/>
        <v>98</v>
      </c>
      <c r="B99" s="37">
        <v>112</v>
      </c>
      <c r="C99" s="38" t="s">
        <v>287</v>
      </c>
      <c r="D99" s="38" t="s">
        <v>288</v>
      </c>
      <c r="E99" s="38" t="s">
        <v>30</v>
      </c>
      <c r="F99" s="36" t="s">
        <v>20</v>
      </c>
      <c r="G99" s="36" t="s">
        <v>124</v>
      </c>
      <c r="H99" s="38" t="s">
        <v>288</v>
      </c>
      <c r="I99" s="39">
        <v>46265.595138888893</v>
      </c>
      <c r="J99" s="40" t="s">
        <v>289</v>
      </c>
      <c r="K99" s="36"/>
      <c r="L99" s="40"/>
      <c r="M99" s="41"/>
      <c r="N99" s="25"/>
      <c r="O99" s="34"/>
      <c r="P99" s="27"/>
      <c r="Q99" s="12"/>
      <c r="R99" s="12"/>
    </row>
    <row r="100" spans="1:18" ht="19.5" customHeight="1">
      <c r="A100" s="36">
        <f t="shared" si="3"/>
        <v>99</v>
      </c>
      <c r="B100" s="37">
        <v>113</v>
      </c>
      <c r="C100" s="38" t="s">
        <v>290</v>
      </c>
      <c r="D100" s="38" t="s">
        <v>59</v>
      </c>
      <c r="E100" s="38" t="s">
        <v>80</v>
      </c>
      <c r="F100" s="36" t="s">
        <v>20</v>
      </c>
      <c r="G100" s="36" t="s">
        <v>26</v>
      </c>
      <c r="H100" s="38" t="s">
        <v>59</v>
      </c>
      <c r="I100" s="39">
        <v>46265.59652777778</v>
      </c>
      <c r="J100" s="40" t="s">
        <v>291</v>
      </c>
      <c r="K100" s="36"/>
      <c r="L100" s="40"/>
      <c r="M100" s="41"/>
      <c r="N100" s="25"/>
      <c r="O100" s="34"/>
      <c r="P100" s="27"/>
      <c r="Q100" s="12"/>
      <c r="R100" s="12"/>
    </row>
    <row r="101" spans="1:18" ht="19.5" customHeight="1">
      <c r="A101" s="36">
        <f t="shared" si="3"/>
        <v>100</v>
      </c>
      <c r="B101" s="37">
        <v>114</v>
      </c>
      <c r="C101" s="38" t="s">
        <v>292</v>
      </c>
      <c r="D101" s="38" t="s">
        <v>293</v>
      </c>
      <c r="E101" s="38" t="s">
        <v>55</v>
      </c>
      <c r="F101" s="36" t="s">
        <v>20</v>
      </c>
      <c r="G101" s="36" t="s">
        <v>38</v>
      </c>
      <c r="H101" s="38" t="s">
        <v>51</v>
      </c>
      <c r="I101" s="39">
        <v>46265.59652777778</v>
      </c>
      <c r="J101" s="40" t="s">
        <v>294</v>
      </c>
      <c r="K101" s="36"/>
      <c r="L101" s="40"/>
      <c r="M101" s="41"/>
      <c r="N101" s="25"/>
      <c r="O101" s="34"/>
      <c r="P101" s="27"/>
      <c r="Q101" s="12"/>
      <c r="R101" s="12"/>
    </row>
    <row r="102" spans="1:18" ht="87.95" customHeight="1">
      <c r="A102" s="36">
        <f t="shared" si="3"/>
        <v>101</v>
      </c>
      <c r="B102" s="37">
        <v>115</v>
      </c>
      <c r="C102" s="38" t="s">
        <v>295</v>
      </c>
      <c r="D102" s="38" t="s">
        <v>59</v>
      </c>
      <c r="E102" s="38" t="s">
        <v>110</v>
      </c>
      <c r="F102" s="36" t="s">
        <v>20</v>
      </c>
      <c r="G102" s="36" t="s">
        <v>106</v>
      </c>
      <c r="H102" s="38" t="s">
        <v>59</v>
      </c>
      <c r="I102" s="39">
        <v>46265.597916666666</v>
      </c>
      <c r="J102" s="40" t="s">
        <v>296</v>
      </c>
      <c r="K102" s="36"/>
      <c r="L102" s="40"/>
      <c r="M102" s="41"/>
      <c r="N102" s="25"/>
      <c r="O102" s="34"/>
      <c r="P102" s="30" t="s">
        <v>127</v>
      </c>
      <c r="Q102" s="18" t="s">
        <v>297</v>
      </c>
      <c r="R102" s="18" t="s">
        <v>298</v>
      </c>
    </row>
    <row r="103" spans="1:18" ht="63.95" customHeight="1">
      <c r="A103" s="36">
        <f t="shared" si="3"/>
        <v>102</v>
      </c>
      <c r="B103" s="37">
        <v>116</v>
      </c>
      <c r="C103" s="38" t="s">
        <v>295</v>
      </c>
      <c r="D103" s="38" t="s">
        <v>59</v>
      </c>
      <c r="E103" s="38" t="s">
        <v>110</v>
      </c>
      <c r="F103" s="36" t="s">
        <v>20</v>
      </c>
      <c r="G103" s="36" t="s">
        <v>26</v>
      </c>
      <c r="H103" s="38" t="s">
        <v>59</v>
      </c>
      <c r="I103" s="39">
        <v>46265.598611111112</v>
      </c>
      <c r="J103" s="40" t="s">
        <v>299</v>
      </c>
      <c r="K103" s="36"/>
      <c r="L103" s="40"/>
      <c r="M103" s="41"/>
      <c r="N103" s="25"/>
      <c r="O103" s="34"/>
      <c r="P103" s="27"/>
      <c r="Q103" s="12"/>
      <c r="R103" s="12"/>
    </row>
    <row r="104" spans="1:18" ht="19.5" customHeight="1">
      <c r="A104" s="36">
        <f t="shared" si="3"/>
        <v>103</v>
      </c>
      <c r="B104" s="37">
        <v>117</v>
      </c>
      <c r="C104" s="38" t="s">
        <v>295</v>
      </c>
      <c r="D104" s="38" t="s">
        <v>59</v>
      </c>
      <c r="E104" s="38" t="s">
        <v>110</v>
      </c>
      <c r="F104" s="36" t="s">
        <v>20</v>
      </c>
      <c r="G104" s="36" t="s">
        <v>26</v>
      </c>
      <c r="H104" s="38" t="s">
        <v>59</v>
      </c>
      <c r="I104" s="39">
        <v>46265.599999999999</v>
      </c>
      <c r="J104" s="40" t="s">
        <v>300</v>
      </c>
      <c r="K104" s="36"/>
      <c r="L104" s="40"/>
      <c r="M104" s="41"/>
      <c r="N104" s="25"/>
      <c r="O104" s="34"/>
      <c r="P104" s="27"/>
      <c r="Q104" s="12"/>
      <c r="R104" s="12"/>
    </row>
    <row r="105" spans="1:18" ht="19.5" customHeight="1">
      <c r="A105" s="36">
        <f t="shared" si="3"/>
        <v>104</v>
      </c>
      <c r="B105" s="37">
        <v>118</v>
      </c>
      <c r="C105" s="38" t="s">
        <v>287</v>
      </c>
      <c r="D105" s="38" t="s">
        <v>288</v>
      </c>
      <c r="E105" s="38" t="s">
        <v>30</v>
      </c>
      <c r="F105" s="36" t="s">
        <v>20</v>
      </c>
      <c r="G105" s="36" t="s">
        <v>32</v>
      </c>
      <c r="H105" s="38" t="s">
        <v>288</v>
      </c>
      <c r="I105" s="39">
        <v>46265.599999999999</v>
      </c>
      <c r="J105" s="40" t="s">
        <v>301</v>
      </c>
      <c r="K105" s="36"/>
      <c r="L105" s="40"/>
      <c r="M105" s="41"/>
      <c r="N105" s="25"/>
      <c r="O105" s="34"/>
      <c r="P105" s="27"/>
      <c r="Q105" s="12"/>
      <c r="R105" s="12"/>
    </row>
    <row r="106" spans="1:18" ht="19.5" customHeight="1">
      <c r="A106" s="36">
        <f t="shared" si="3"/>
        <v>105</v>
      </c>
      <c r="B106" s="37">
        <v>119</v>
      </c>
      <c r="C106" s="38" t="s">
        <v>290</v>
      </c>
      <c r="D106" s="38" t="s">
        <v>59</v>
      </c>
      <c r="E106" s="38" t="s">
        <v>80</v>
      </c>
      <c r="F106" s="36" t="s">
        <v>20</v>
      </c>
      <c r="G106" s="36" t="s">
        <v>26</v>
      </c>
      <c r="H106" s="38" t="s">
        <v>59</v>
      </c>
      <c r="I106" s="39">
        <v>46265.604861111111</v>
      </c>
      <c r="J106" s="40" t="s">
        <v>302</v>
      </c>
      <c r="K106" s="36"/>
      <c r="L106" s="40"/>
      <c r="M106" s="41"/>
      <c r="N106" s="25"/>
      <c r="O106" s="34"/>
      <c r="P106" s="27"/>
      <c r="Q106" s="12"/>
      <c r="R106" s="12"/>
    </row>
    <row r="107" spans="1:18" ht="19.5" customHeight="1">
      <c r="A107" s="36">
        <f t="shared" si="3"/>
        <v>106</v>
      </c>
      <c r="B107" s="37">
        <v>120</v>
      </c>
      <c r="C107" s="38" t="s">
        <v>136</v>
      </c>
      <c r="D107" s="38" t="s">
        <v>47</v>
      </c>
      <c r="E107" s="38" t="s">
        <v>46</v>
      </c>
      <c r="F107" s="36" t="s">
        <v>20</v>
      </c>
      <c r="G107" s="36" t="s">
        <v>50</v>
      </c>
      <c r="H107" s="38" t="s">
        <v>47</v>
      </c>
      <c r="I107" s="39">
        <v>46265.60555555555</v>
      </c>
      <c r="J107" s="40" t="s">
        <v>303</v>
      </c>
      <c r="K107" s="36"/>
      <c r="L107" s="40"/>
      <c r="M107" s="41"/>
      <c r="N107" s="25"/>
      <c r="O107" s="34"/>
      <c r="P107" s="27"/>
      <c r="Q107" s="12"/>
      <c r="R107" s="12"/>
    </row>
    <row r="108" spans="1:18" ht="111.95" customHeight="1">
      <c r="A108" s="36">
        <f t="shared" si="3"/>
        <v>107</v>
      </c>
      <c r="B108" s="37">
        <v>121</v>
      </c>
      <c r="C108" s="38" t="s">
        <v>304</v>
      </c>
      <c r="D108" s="38" t="s">
        <v>64</v>
      </c>
      <c r="E108" s="38" t="s">
        <v>30</v>
      </c>
      <c r="F108" s="36" t="s">
        <v>20</v>
      </c>
      <c r="G108" s="36" t="s">
        <v>106</v>
      </c>
      <c r="H108" s="38" t="s">
        <v>64</v>
      </c>
      <c r="I108" s="39">
        <v>46265.612500000003</v>
      </c>
      <c r="J108" s="40" t="s">
        <v>305</v>
      </c>
      <c r="K108" s="36"/>
      <c r="L108" s="40"/>
      <c r="M108" s="41"/>
      <c r="N108" s="25"/>
      <c r="O108" s="34"/>
      <c r="P108" s="30" t="s">
        <v>127</v>
      </c>
      <c r="Q108" s="18" t="s">
        <v>306</v>
      </c>
      <c r="R108" s="18" t="s">
        <v>307</v>
      </c>
    </row>
    <row r="109" spans="1:18" ht="19.5" customHeight="1">
      <c r="A109" s="36">
        <f t="shared" ref="A109:A125" si="4">ROW()-1</f>
        <v>108</v>
      </c>
      <c r="B109" s="37">
        <v>122</v>
      </c>
      <c r="C109" s="38" t="s">
        <v>308</v>
      </c>
      <c r="D109" s="38" t="s">
        <v>176</v>
      </c>
      <c r="E109" s="38" t="s">
        <v>30</v>
      </c>
      <c r="F109" s="36" t="s">
        <v>20</v>
      </c>
      <c r="G109" s="36" t="s">
        <v>177</v>
      </c>
      <c r="H109" s="38" t="s">
        <v>51</v>
      </c>
      <c r="I109" s="39">
        <v>46265.61319444445</v>
      </c>
      <c r="J109" s="40" t="s">
        <v>309</v>
      </c>
      <c r="K109" s="36"/>
      <c r="L109" s="40"/>
      <c r="M109" s="41"/>
      <c r="N109" s="25"/>
      <c r="O109" s="34"/>
      <c r="P109" s="27"/>
      <c r="Q109" s="12"/>
      <c r="R109" s="12"/>
    </row>
    <row r="110" spans="1:18" ht="19.5" customHeight="1">
      <c r="A110" s="36">
        <f t="shared" si="4"/>
        <v>109</v>
      </c>
      <c r="B110" s="37">
        <v>123</v>
      </c>
      <c r="C110" s="38" t="s">
        <v>119</v>
      </c>
      <c r="D110" s="38" t="s">
        <v>59</v>
      </c>
      <c r="E110" s="38" t="s">
        <v>30</v>
      </c>
      <c r="F110" s="36" t="s">
        <v>20</v>
      </c>
      <c r="G110" s="36" t="s">
        <v>65</v>
      </c>
      <c r="H110" s="38" t="s">
        <v>59</v>
      </c>
      <c r="I110" s="39">
        <v>46265.622916666667</v>
      </c>
      <c r="J110" s="40" t="s">
        <v>310</v>
      </c>
      <c r="K110" s="36"/>
      <c r="L110" s="40"/>
      <c r="M110" s="41"/>
      <c r="N110" s="25"/>
      <c r="O110" s="34"/>
      <c r="P110" s="27"/>
      <c r="Q110" s="12"/>
      <c r="R110" s="12"/>
    </row>
    <row r="111" spans="1:18" ht="19.5" customHeight="1">
      <c r="A111" s="36">
        <f t="shared" si="4"/>
        <v>110</v>
      </c>
      <c r="B111" s="37">
        <v>124</v>
      </c>
      <c r="C111" s="38" t="s">
        <v>311</v>
      </c>
      <c r="D111" s="38" t="s">
        <v>42</v>
      </c>
      <c r="E111" s="38" t="s">
        <v>110</v>
      </c>
      <c r="F111" s="36" t="s">
        <v>20</v>
      </c>
      <c r="G111" s="36" t="s">
        <v>106</v>
      </c>
      <c r="H111" s="38" t="s">
        <v>42</v>
      </c>
      <c r="I111" s="39">
        <v>46265.630555555559</v>
      </c>
      <c r="J111" s="40" t="s">
        <v>312</v>
      </c>
      <c r="K111" s="36"/>
      <c r="L111" s="40"/>
      <c r="M111" s="41"/>
      <c r="N111" s="25"/>
      <c r="O111" s="34"/>
      <c r="P111" s="27"/>
      <c r="Q111" s="12"/>
      <c r="R111" s="12"/>
    </row>
    <row r="112" spans="1:18" ht="19.5" customHeight="1">
      <c r="A112" s="36">
        <f t="shared" si="4"/>
        <v>111</v>
      </c>
      <c r="B112" s="37">
        <v>125</v>
      </c>
      <c r="C112" s="38" t="s">
        <v>313</v>
      </c>
      <c r="D112" s="38" t="s">
        <v>256</v>
      </c>
      <c r="E112" s="38" t="s">
        <v>55</v>
      </c>
      <c r="F112" s="36" t="s">
        <v>20</v>
      </c>
      <c r="G112" s="36" t="s">
        <v>65</v>
      </c>
      <c r="H112" s="38" t="s">
        <v>91</v>
      </c>
      <c r="I112" s="39">
        <v>46265.635416666672</v>
      </c>
      <c r="J112" s="40" t="s">
        <v>314</v>
      </c>
      <c r="K112" s="36"/>
      <c r="L112" s="40"/>
      <c r="M112" s="41"/>
      <c r="N112" s="25"/>
      <c r="O112" s="34"/>
      <c r="P112" s="27"/>
      <c r="Q112" s="12"/>
      <c r="R112" s="12"/>
    </row>
    <row r="113" spans="1:18" ht="19.5" customHeight="1">
      <c r="A113" s="36">
        <f t="shared" si="4"/>
        <v>112</v>
      </c>
      <c r="B113" s="37">
        <v>126</v>
      </c>
      <c r="C113" s="38" t="s">
        <v>90</v>
      </c>
      <c r="D113" s="38" t="s">
        <v>91</v>
      </c>
      <c r="E113" s="38" t="s">
        <v>30</v>
      </c>
      <c r="F113" s="36" t="s">
        <v>20</v>
      </c>
      <c r="G113" s="36" t="s">
        <v>65</v>
      </c>
      <c r="H113" s="38" t="s">
        <v>91</v>
      </c>
      <c r="I113" s="39">
        <v>46265.665277777778</v>
      </c>
      <c r="J113" s="40" t="s">
        <v>315</v>
      </c>
      <c r="K113" s="36"/>
      <c r="L113" s="40"/>
      <c r="M113" s="41"/>
      <c r="N113" s="25"/>
      <c r="O113" s="34"/>
      <c r="P113" s="27"/>
      <c r="Q113" s="12"/>
      <c r="R113" s="12"/>
    </row>
    <row r="114" spans="1:18" ht="19.5" customHeight="1">
      <c r="A114" s="36">
        <f t="shared" si="4"/>
        <v>113</v>
      </c>
      <c r="B114" s="37">
        <v>127</v>
      </c>
      <c r="C114" s="38" t="s">
        <v>316</v>
      </c>
      <c r="D114" s="38" t="s">
        <v>288</v>
      </c>
      <c r="E114" s="38" t="s">
        <v>30</v>
      </c>
      <c r="F114" s="36" t="s">
        <v>20</v>
      </c>
      <c r="G114" s="36" t="s">
        <v>106</v>
      </c>
      <c r="H114" s="38" t="s">
        <v>288</v>
      </c>
      <c r="I114" s="39">
        <v>46265.66805555555</v>
      </c>
      <c r="J114" s="40" t="s">
        <v>317</v>
      </c>
      <c r="K114" s="36"/>
      <c r="L114" s="40"/>
      <c r="M114" s="41"/>
      <c r="N114" s="25"/>
      <c r="O114" s="34"/>
      <c r="P114" s="27"/>
      <c r="Q114" s="12"/>
      <c r="R114" s="12"/>
    </row>
    <row r="115" spans="1:18" ht="19.5" customHeight="1">
      <c r="A115" s="36">
        <f t="shared" si="4"/>
        <v>114</v>
      </c>
      <c r="B115" s="37">
        <v>128</v>
      </c>
      <c r="C115" s="38" t="s">
        <v>318</v>
      </c>
      <c r="D115" s="38" t="s">
        <v>265</v>
      </c>
      <c r="E115" s="38" t="s">
        <v>30</v>
      </c>
      <c r="F115" s="36" t="s">
        <v>20</v>
      </c>
      <c r="G115" s="36" t="s">
        <v>32</v>
      </c>
      <c r="H115" s="38" t="s">
        <v>319</v>
      </c>
      <c r="I115" s="39">
        <v>46265.669444444444</v>
      </c>
      <c r="J115" s="40" t="s">
        <v>320</v>
      </c>
      <c r="K115" s="36"/>
      <c r="L115" s="40"/>
      <c r="M115" s="41"/>
      <c r="N115" s="25"/>
      <c r="O115" s="34"/>
      <c r="P115" s="27"/>
      <c r="Q115" s="12"/>
      <c r="R115" s="12"/>
    </row>
    <row r="116" spans="1:18" ht="19.5" customHeight="1">
      <c r="A116" s="36">
        <f t="shared" si="4"/>
        <v>115</v>
      </c>
      <c r="B116" s="37">
        <v>130</v>
      </c>
      <c r="C116" s="38" t="s">
        <v>318</v>
      </c>
      <c r="D116" s="38" t="s">
        <v>265</v>
      </c>
      <c r="E116" s="38" t="s">
        <v>30</v>
      </c>
      <c r="F116" s="36" t="s">
        <v>20</v>
      </c>
      <c r="G116" s="36" t="s">
        <v>32</v>
      </c>
      <c r="H116" s="38" t="s">
        <v>319</v>
      </c>
      <c r="I116" s="39">
        <v>46265.670833333337</v>
      </c>
      <c r="J116" s="40" t="s">
        <v>321</v>
      </c>
      <c r="K116" s="36"/>
      <c r="L116" s="40"/>
      <c r="M116" s="41"/>
      <c r="N116" s="25"/>
      <c r="O116" s="34"/>
      <c r="P116" s="27"/>
      <c r="Q116" s="12"/>
      <c r="R116" s="12"/>
    </row>
    <row r="117" spans="1:18" ht="19.5" customHeight="1">
      <c r="A117" s="36">
        <f t="shared" si="4"/>
        <v>116</v>
      </c>
      <c r="B117" s="37">
        <v>132</v>
      </c>
      <c r="C117" s="38" t="s">
        <v>322</v>
      </c>
      <c r="D117" s="38" t="s">
        <v>323</v>
      </c>
      <c r="E117" s="38" t="s">
        <v>30</v>
      </c>
      <c r="F117" s="36" t="s">
        <v>20</v>
      </c>
      <c r="G117" s="36" t="s">
        <v>65</v>
      </c>
      <c r="H117" s="38" t="s">
        <v>92</v>
      </c>
      <c r="I117" s="39">
        <v>46265.681944444441</v>
      </c>
      <c r="J117" s="40" t="s">
        <v>324</v>
      </c>
      <c r="K117" s="36"/>
      <c r="L117" s="40"/>
      <c r="M117" s="41"/>
      <c r="N117" s="25"/>
      <c r="O117" s="34"/>
      <c r="P117" s="27"/>
      <c r="Q117" s="12"/>
      <c r="R117" s="12"/>
    </row>
    <row r="118" spans="1:18" ht="19.5" customHeight="1">
      <c r="A118" s="36">
        <f t="shared" si="4"/>
        <v>117</v>
      </c>
      <c r="B118" s="37">
        <v>133</v>
      </c>
      <c r="C118" s="38" t="s">
        <v>322</v>
      </c>
      <c r="D118" s="38" t="s">
        <v>64</v>
      </c>
      <c r="E118" s="38" t="s">
        <v>30</v>
      </c>
      <c r="F118" s="36" t="s">
        <v>20</v>
      </c>
      <c r="G118" s="36" t="s">
        <v>106</v>
      </c>
      <c r="H118" s="38" t="s">
        <v>64</v>
      </c>
      <c r="I118" s="39">
        <v>46265.684027777781</v>
      </c>
      <c r="J118" s="40" t="s">
        <v>325</v>
      </c>
      <c r="K118" s="36"/>
      <c r="L118" s="40"/>
      <c r="M118" s="41"/>
      <c r="N118" s="25"/>
      <c r="O118" s="34"/>
      <c r="P118" s="27"/>
      <c r="Q118" s="12"/>
      <c r="R118" s="12"/>
    </row>
    <row r="119" spans="1:18" ht="19.5" customHeight="1">
      <c r="A119" s="36">
        <f t="shared" si="4"/>
        <v>118</v>
      </c>
      <c r="B119" s="37">
        <v>134</v>
      </c>
      <c r="C119" s="38" t="s">
        <v>316</v>
      </c>
      <c r="D119" s="38" t="s">
        <v>284</v>
      </c>
      <c r="E119" s="38" t="s">
        <v>30</v>
      </c>
      <c r="F119" s="36" t="s">
        <v>20</v>
      </c>
      <c r="G119" s="36" t="s">
        <v>106</v>
      </c>
      <c r="H119" s="38" t="s">
        <v>284</v>
      </c>
      <c r="I119" s="39">
        <v>46265.688194444447</v>
      </c>
      <c r="J119" s="40" t="s">
        <v>326</v>
      </c>
      <c r="K119" s="36"/>
      <c r="L119" s="40"/>
      <c r="M119" s="41"/>
      <c r="N119" s="25"/>
      <c r="O119" s="34"/>
      <c r="P119" s="27"/>
      <c r="Q119" s="12"/>
      <c r="R119" s="12"/>
    </row>
    <row r="120" spans="1:18" ht="19.5" customHeight="1">
      <c r="A120" s="36">
        <f t="shared" si="4"/>
        <v>119</v>
      </c>
      <c r="B120" s="37">
        <v>135</v>
      </c>
      <c r="C120" s="38" t="s">
        <v>327</v>
      </c>
      <c r="D120" s="38" t="s">
        <v>24</v>
      </c>
      <c r="E120" s="38" t="s">
        <v>30</v>
      </c>
      <c r="F120" s="36" t="s">
        <v>20</v>
      </c>
      <c r="G120" s="36" t="s">
        <v>106</v>
      </c>
      <c r="H120" s="38" t="s">
        <v>24</v>
      </c>
      <c r="I120" s="39">
        <v>46265.691666666666</v>
      </c>
      <c r="J120" s="40" t="s">
        <v>328</v>
      </c>
      <c r="K120" s="36"/>
      <c r="L120" s="40"/>
      <c r="M120" s="41"/>
      <c r="N120" s="25"/>
      <c r="O120" s="34"/>
      <c r="P120" s="27"/>
      <c r="Q120" s="12"/>
      <c r="R120" s="12"/>
    </row>
    <row r="121" spans="1:18" ht="19.5" customHeight="1">
      <c r="A121" s="36">
        <f t="shared" si="4"/>
        <v>120</v>
      </c>
      <c r="B121" s="37">
        <v>136</v>
      </c>
      <c r="C121" s="38" t="s">
        <v>257</v>
      </c>
      <c r="D121" s="38" t="s">
        <v>258</v>
      </c>
      <c r="E121" s="38" t="s">
        <v>30</v>
      </c>
      <c r="F121" s="36" t="s">
        <v>20</v>
      </c>
      <c r="G121" s="36" t="s">
        <v>65</v>
      </c>
      <c r="H121" s="38" t="s">
        <v>259</v>
      </c>
      <c r="I121" s="39">
        <v>46265.694444444445</v>
      </c>
      <c r="J121" s="40" t="s">
        <v>329</v>
      </c>
      <c r="K121" s="36"/>
      <c r="L121" s="40"/>
      <c r="M121" s="41"/>
      <c r="N121" s="25"/>
      <c r="O121" s="34"/>
      <c r="P121" s="27"/>
      <c r="Q121" s="12"/>
      <c r="R121" s="12"/>
    </row>
    <row r="122" spans="1:18" ht="19.5" customHeight="1">
      <c r="A122" s="36">
        <f t="shared" si="4"/>
        <v>121</v>
      </c>
      <c r="B122" s="37">
        <v>137</v>
      </c>
      <c r="C122" s="38" t="s">
        <v>330</v>
      </c>
      <c r="D122" s="38" t="s">
        <v>92</v>
      </c>
      <c r="E122" s="38" t="s">
        <v>30</v>
      </c>
      <c r="F122" s="36" t="s">
        <v>20</v>
      </c>
      <c r="G122" s="36" t="s">
        <v>65</v>
      </c>
      <c r="H122" s="38" t="s">
        <v>92</v>
      </c>
      <c r="I122" s="39">
        <v>46265.697916666672</v>
      </c>
      <c r="J122" s="40" t="s">
        <v>331</v>
      </c>
      <c r="K122" s="36"/>
      <c r="L122" s="40"/>
      <c r="M122" s="41"/>
      <c r="N122" s="25"/>
      <c r="O122" s="34"/>
      <c r="P122" s="27"/>
      <c r="Q122" s="12"/>
      <c r="R122" s="12"/>
    </row>
    <row r="123" spans="1:18" ht="19.5" customHeight="1">
      <c r="A123" s="36">
        <f t="shared" si="4"/>
        <v>122</v>
      </c>
      <c r="B123" s="37">
        <v>138</v>
      </c>
      <c r="C123" s="38" t="s">
        <v>332</v>
      </c>
      <c r="D123" s="38" t="s">
        <v>111</v>
      </c>
      <c r="E123" s="38" t="s">
        <v>55</v>
      </c>
      <c r="F123" s="36" t="s">
        <v>20</v>
      </c>
      <c r="G123" s="36" t="s">
        <v>65</v>
      </c>
      <c r="H123" s="38" t="s">
        <v>51</v>
      </c>
      <c r="I123" s="39">
        <v>46265.712500000001</v>
      </c>
      <c r="J123" s="40" t="s">
        <v>333</v>
      </c>
      <c r="K123" s="36"/>
      <c r="L123" s="40"/>
      <c r="M123" s="41"/>
      <c r="N123" s="25"/>
      <c r="O123" s="34"/>
      <c r="P123" s="27"/>
      <c r="Q123" s="12"/>
      <c r="R123" s="12"/>
    </row>
    <row r="124" spans="1:18" ht="19.5" customHeight="1">
      <c r="A124" s="36">
        <f t="shared" si="4"/>
        <v>123</v>
      </c>
      <c r="B124" s="37">
        <v>139</v>
      </c>
      <c r="C124" s="38" t="s">
        <v>334</v>
      </c>
      <c r="D124" s="38" t="s">
        <v>33</v>
      </c>
      <c r="E124" s="38" t="s">
        <v>163</v>
      </c>
      <c r="F124" s="36" t="s">
        <v>20</v>
      </c>
      <c r="G124" s="36" t="s">
        <v>65</v>
      </c>
      <c r="H124" s="38" t="s">
        <v>33</v>
      </c>
      <c r="I124" s="39">
        <v>46265.763888888891</v>
      </c>
      <c r="J124" s="40" t="s">
        <v>335</v>
      </c>
      <c r="K124" s="36"/>
      <c r="L124" s="40"/>
      <c r="M124" s="41"/>
      <c r="N124" s="25"/>
      <c r="O124" s="34"/>
      <c r="P124" s="27"/>
      <c r="Q124" s="12"/>
      <c r="R124" s="12"/>
    </row>
    <row r="125" spans="1:18" ht="19.5" customHeight="1">
      <c r="A125" s="36">
        <f t="shared" si="4"/>
        <v>124</v>
      </c>
      <c r="B125" s="37">
        <v>140</v>
      </c>
      <c r="C125" s="38" t="s">
        <v>336</v>
      </c>
      <c r="D125" s="38" t="s">
        <v>33</v>
      </c>
      <c r="E125" s="38" t="s">
        <v>163</v>
      </c>
      <c r="F125" s="36" t="s">
        <v>20</v>
      </c>
      <c r="G125" s="36" t="s">
        <v>65</v>
      </c>
      <c r="H125" s="38" t="s">
        <v>33</v>
      </c>
      <c r="I125" s="39">
        <v>46265.765972222223</v>
      </c>
      <c r="J125" s="40" t="s">
        <v>337</v>
      </c>
      <c r="K125" s="36"/>
      <c r="L125" s="40"/>
      <c r="M125" s="41"/>
      <c r="N125" s="25"/>
      <c r="O125" s="34"/>
      <c r="P125" s="27"/>
      <c r="Q125" s="12"/>
      <c r="R125" s="12"/>
    </row>
    <row r="126" spans="1:18" ht="111.95" customHeight="1">
      <c r="A126" s="36">
        <f t="shared" ref="A126:A135" si="5">ROW()-1</f>
        <v>125</v>
      </c>
      <c r="B126" s="37">
        <v>142</v>
      </c>
      <c r="C126" s="38" t="s">
        <v>338</v>
      </c>
      <c r="D126" s="38" t="s">
        <v>54</v>
      </c>
      <c r="E126" s="38" t="s">
        <v>196</v>
      </c>
      <c r="F126" s="36" t="s">
        <v>20</v>
      </c>
      <c r="G126" s="36" t="s">
        <v>26</v>
      </c>
      <c r="H126" s="38" t="s">
        <v>59</v>
      </c>
      <c r="I126" s="39">
        <v>46265.779861111107</v>
      </c>
      <c r="J126" s="40" t="s">
        <v>339</v>
      </c>
      <c r="K126" s="36"/>
      <c r="L126" s="40"/>
      <c r="M126" s="41"/>
      <c r="N126" s="25"/>
      <c r="O126" s="34"/>
      <c r="P126" s="29" t="s">
        <v>73</v>
      </c>
      <c r="Q126" s="17" t="s">
        <v>340</v>
      </c>
      <c r="R126" s="17" t="s">
        <v>341</v>
      </c>
    </row>
    <row r="127" spans="1:18" ht="19.5" customHeight="1">
      <c r="A127" s="36">
        <f t="shared" si="5"/>
        <v>126</v>
      </c>
      <c r="B127" s="37">
        <v>143</v>
      </c>
      <c r="C127" s="38" t="s">
        <v>342</v>
      </c>
      <c r="D127" s="38" t="s">
        <v>82</v>
      </c>
      <c r="E127" s="38" t="s">
        <v>25</v>
      </c>
      <c r="F127" s="36" t="s">
        <v>20</v>
      </c>
      <c r="G127" s="36" t="s">
        <v>32</v>
      </c>
      <c r="H127" s="38" t="s">
        <v>82</v>
      </c>
      <c r="I127" s="39">
        <v>46265.893750000003</v>
      </c>
      <c r="J127" s="40" t="s">
        <v>343</v>
      </c>
      <c r="K127" s="36"/>
      <c r="L127" s="40"/>
      <c r="M127" s="41"/>
      <c r="N127" s="25"/>
      <c r="O127" s="34"/>
      <c r="P127" s="27"/>
      <c r="Q127" s="12"/>
      <c r="R127" s="12"/>
    </row>
    <row r="128" spans="1:18" ht="19.5" customHeight="1">
      <c r="A128" s="36">
        <f t="shared" si="5"/>
        <v>127</v>
      </c>
      <c r="B128" s="37">
        <v>144</v>
      </c>
      <c r="C128" s="38" t="s">
        <v>344</v>
      </c>
      <c r="D128" s="38" t="s">
        <v>91</v>
      </c>
      <c r="E128" s="38" t="s">
        <v>203</v>
      </c>
      <c r="F128" s="36" t="s">
        <v>31</v>
      </c>
      <c r="G128" s="36" t="s">
        <v>65</v>
      </c>
      <c r="H128" s="38" t="s">
        <v>91</v>
      </c>
      <c r="I128" s="39">
        <v>46275.426388888889</v>
      </c>
      <c r="J128" s="40" t="s">
        <v>345</v>
      </c>
      <c r="K128" s="36"/>
      <c r="L128" s="40"/>
      <c r="M128" s="41"/>
      <c r="N128" s="25"/>
      <c r="O128" s="34"/>
      <c r="P128" s="27"/>
      <c r="Q128" s="12"/>
      <c r="R128" s="12"/>
    </row>
    <row r="129" spans="1:18" ht="19.5" customHeight="1">
      <c r="A129" s="36">
        <f t="shared" si="5"/>
        <v>128</v>
      </c>
      <c r="B129" s="37">
        <v>146</v>
      </c>
      <c r="C129" s="38" t="s">
        <v>53</v>
      </c>
      <c r="D129" s="38" t="s">
        <v>54</v>
      </c>
      <c r="E129" s="38" t="s">
        <v>55</v>
      </c>
      <c r="F129" s="36" t="s">
        <v>37</v>
      </c>
      <c r="G129" s="36" t="s">
        <v>124</v>
      </c>
      <c r="H129" s="38" t="s">
        <v>91</v>
      </c>
      <c r="I129" s="39">
        <v>46288.70694444445</v>
      </c>
      <c r="J129" s="40" t="s">
        <v>346</v>
      </c>
      <c r="K129" s="36"/>
      <c r="L129" s="40"/>
      <c r="M129" s="41"/>
      <c r="N129" s="25"/>
      <c r="O129" s="34"/>
      <c r="P129" s="27"/>
      <c r="Q129" s="12"/>
      <c r="R129" s="12"/>
    </row>
    <row r="130" spans="1:18" s="9" customFormat="1" ht="19.5" customHeight="1">
      <c r="A130" s="36">
        <f t="shared" si="5"/>
        <v>129</v>
      </c>
      <c r="B130" s="37">
        <v>147</v>
      </c>
      <c r="C130" s="38" t="s">
        <v>202</v>
      </c>
      <c r="D130" s="38" t="s">
        <v>92</v>
      </c>
      <c r="E130" s="38" t="s">
        <v>30</v>
      </c>
      <c r="F130" s="36" t="s">
        <v>37</v>
      </c>
      <c r="G130" s="36" t="s">
        <v>32</v>
      </c>
      <c r="H130" s="38" t="s">
        <v>59</v>
      </c>
      <c r="I130" s="39">
        <v>46296.429166666669</v>
      </c>
      <c r="J130" s="40" t="s">
        <v>347</v>
      </c>
      <c r="K130" s="36"/>
      <c r="L130" s="40"/>
      <c r="M130" s="43"/>
      <c r="N130" s="26"/>
      <c r="O130" s="23"/>
      <c r="P130" s="31"/>
      <c r="Q130" s="13"/>
      <c r="R130" s="13"/>
    </row>
    <row r="131" spans="1:18" s="9" customFormat="1" ht="87.95" customHeight="1">
      <c r="A131" s="36">
        <f t="shared" si="5"/>
        <v>130</v>
      </c>
      <c r="B131" s="36">
        <v>148</v>
      </c>
      <c r="C131" s="36" t="s">
        <v>348</v>
      </c>
      <c r="D131" s="36" t="s">
        <v>47</v>
      </c>
      <c r="E131" s="36" t="s">
        <v>110</v>
      </c>
      <c r="F131" s="36" t="s">
        <v>31</v>
      </c>
      <c r="G131" s="36" t="s">
        <v>124</v>
      </c>
      <c r="H131" s="36" t="s">
        <v>47</v>
      </c>
      <c r="I131" s="44">
        <v>46310.611111111109</v>
      </c>
      <c r="J131" s="45" t="s">
        <v>349</v>
      </c>
      <c r="K131" s="36"/>
      <c r="L131" s="45"/>
      <c r="M131" s="43"/>
      <c r="N131" s="26"/>
      <c r="O131" s="23"/>
      <c r="P131" s="32" t="s">
        <v>127</v>
      </c>
      <c r="Q131" s="19" t="s">
        <v>350</v>
      </c>
      <c r="R131" s="19" t="s">
        <v>351</v>
      </c>
    </row>
    <row r="132" spans="1:18" s="15" customFormat="1" ht="87.95" customHeight="1">
      <c r="A132" s="36">
        <f t="shared" si="5"/>
        <v>131</v>
      </c>
      <c r="B132" s="36">
        <v>150</v>
      </c>
      <c r="C132" s="36" t="s">
        <v>108</v>
      </c>
      <c r="D132" s="36" t="s">
        <v>111</v>
      </c>
      <c r="E132" s="36" t="s">
        <v>110</v>
      </c>
      <c r="F132" s="36" t="s">
        <v>352</v>
      </c>
      <c r="G132" s="36" t="s">
        <v>32</v>
      </c>
      <c r="H132" s="36" t="s">
        <v>54</v>
      </c>
      <c r="I132" s="44">
        <v>46314.628472222219</v>
      </c>
      <c r="J132" s="45" t="s">
        <v>353</v>
      </c>
      <c r="K132" s="36"/>
      <c r="L132" s="45"/>
      <c r="M132" s="43"/>
      <c r="N132" s="26"/>
      <c r="O132" s="23"/>
      <c r="P132" s="28"/>
      <c r="Q132" s="20"/>
      <c r="R132" s="20"/>
    </row>
    <row r="133" spans="1:18" s="9" customFormat="1" ht="111.95" customHeight="1">
      <c r="A133" s="36">
        <f t="shared" si="5"/>
        <v>132</v>
      </c>
      <c r="B133" s="36">
        <v>152</v>
      </c>
      <c r="C133" s="36" t="s">
        <v>90</v>
      </c>
      <c r="D133" s="36" t="s">
        <v>91</v>
      </c>
      <c r="E133" s="36" t="s">
        <v>203</v>
      </c>
      <c r="F133" s="36" t="s">
        <v>31</v>
      </c>
      <c r="G133" s="36" t="s">
        <v>21</v>
      </c>
      <c r="H133" s="36" t="s">
        <v>91</v>
      </c>
      <c r="I133" s="44">
        <v>46316.39166666667</v>
      </c>
      <c r="J133" s="45" t="s">
        <v>354</v>
      </c>
      <c r="K133" s="36"/>
      <c r="L133" s="45"/>
      <c r="M133" s="43"/>
      <c r="N133" s="26"/>
      <c r="O133" s="23"/>
      <c r="P133" s="33" t="s">
        <v>73</v>
      </c>
      <c r="Q133" s="21" t="s">
        <v>355</v>
      </c>
      <c r="R133" s="21" t="s">
        <v>356</v>
      </c>
    </row>
    <row r="134" spans="1:18" s="9" customFormat="1" ht="19.5" customHeight="1">
      <c r="A134" s="36">
        <f t="shared" si="5"/>
        <v>133</v>
      </c>
      <c r="B134" s="36">
        <v>153</v>
      </c>
      <c r="C134" s="36" t="s">
        <v>295</v>
      </c>
      <c r="D134" s="36" t="s">
        <v>59</v>
      </c>
      <c r="E134" s="36" t="s">
        <v>110</v>
      </c>
      <c r="F134" s="36" t="s">
        <v>357</v>
      </c>
      <c r="G134" s="36" t="s">
        <v>38</v>
      </c>
      <c r="H134" s="36" t="s">
        <v>59</v>
      </c>
      <c r="I134" s="44">
        <v>46316.447222222225</v>
      </c>
      <c r="J134" s="45" t="s">
        <v>358</v>
      </c>
      <c r="K134" s="36"/>
      <c r="L134" s="45"/>
      <c r="M134" s="43"/>
      <c r="N134" s="26"/>
      <c r="O134" s="23"/>
      <c r="P134" s="11"/>
      <c r="Q134" s="11"/>
      <c r="R134" s="11"/>
    </row>
    <row r="135" spans="1:18" s="9" customFormat="1" ht="19.5" customHeight="1">
      <c r="A135" s="36">
        <f t="shared" si="5"/>
        <v>134</v>
      </c>
      <c r="B135" s="36">
        <v>154</v>
      </c>
      <c r="C135" s="36" t="s">
        <v>359</v>
      </c>
      <c r="D135" s="36" t="s">
        <v>360</v>
      </c>
      <c r="E135" s="36" t="s">
        <v>101</v>
      </c>
      <c r="F135" s="36" t="s">
        <v>37</v>
      </c>
      <c r="G135" s="36" t="s">
        <v>32</v>
      </c>
      <c r="H135" s="36" t="s">
        <v>51</v>
      </c>
      <c r="I135" s="44">
        <v>46317.484027777777</v>
      </c>
      <c r="J135" s="45" t="s">
        <v>361</v>
      </c>
      <c r="K135" s="36"/>
      <c r="L135" s="45"/>
      <c r="M135" s="43"/>
      <c r="N135" s="26"/>
      <c r="O135" s="23"/>
      <c r="P135" s="11"/>
      <c r="Q135" s="11"/>
      <c r="R135" s="11"/>
    </row>
  </sheetData>
  <autoFilter ref="A1:R135"/>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KANGHEE LEE</cp:lastModifiedBy>
  <dcterms:modified xsi:type="dcterms:W3CDTF">2026-10-27T15:36:46Z</dcterms:modified>
</cp:coreProperties>
</file>